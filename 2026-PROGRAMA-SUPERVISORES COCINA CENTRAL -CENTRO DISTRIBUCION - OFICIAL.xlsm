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namedSheetViews/namedSheetView2.xml" ContentType="application/vnd.ms-excel.namedsheetviews+xml"/>
  <Override PartName="/xl/drawings/drawing3.xml" ContentType="application/vnd.openxmlformats-officedocument.drawing+xml"/>
  <Override PartName="/xl/namedSheetViews/namedSheetView3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llende2/Downloads/"/>
    </mc:Choice>
  </mc:AlternateContent>
  <xr:revisionPtr revIDLastSave="0" documentId="8_{EAB40F2B-D8EA-B14E-8813-F425C69E82DD}" xr6:coauthVersionLast="47" xr6:coauthVersionMax="47" xr10:uidLastSave="{00000000-0000-0000-0000-000000000000}"/>
  <bookViews>
    <workbookView xWindow="4360" yWindow="660" windowWidth="29040" windowHeight="17580" tabRatio="742" xr2:uid="{00000000-000D-0000-FFFF-FFFF00000000}"/>
  </bookViews>
  <sheets>
    <sheet name="JUN-2026 (OFI)" sheetId="96" r:id="rId1"/>
    <sheet name="MAY-2026" sheetId="83" r:id="rId2"/>
    <sheet name="Leyenda" sheetId="76" r:id="rId3"/>
    <sheet name="Plantilla" sheetId="95" r:id="rId4"/>
  </sheets>
  <definedNames>
    <definedName name="_xlnm.Print_Area" localSheetId="0">'JUN-2026 (OFI)'!$A$1:$AJ$26</definedName>
    <definedName name="_xlnm.Print_Area" localSheetId="1">'MAY-2026'!$A$1:$AJ$25</definedName>
    <definedName name="_xlnm.Print_Area" localSheetId="3">Plantilla!$A$1:$AD$25</definedName>
    <definedName name="_xlnm.Print_Titles" localSheetId="0">'JUN-2026 (OFI)'!$A:$A,'JUN-2026 (OFI)'!$1:$4</definedName>
    <definedName name="_xlnm.Print_Titles" localSheetId="1">'MAY-2026'!$A:$A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3" i="96" l="1"/>
  <c r="AI33" i="96"/>
  <c r="AH33" i="96"/>
  <c r="AG33" i="96"/>
  <c r="AF33" i="96"/>
  <c r="AE33" i="96"/>
  <c r="AD33" i="96"/>
  <c r="AC33" i="96"/>
  <c r="AB33" i="96"/>
  <c r="AA33" i="96"/>
  <c r="Z33" i="96"/>
  <c r="Y33" i="96"/>
  <c r="X33" i="96"/>
  <c r="W33" i="96"/>
  <c r="V33" i="96"/>
  <c r="U33" i="96"/>
  <c r="T33" i="96"/>
  <c r="S33" i="96"/>
  <c r="R33" i="96"/>
  <c r="Q33" i="96"/>
  <c r="P33" i="96"/>
  <c r="O33" i="96"/>
  <c r="N33" i="96"/>
  <c r="M33" i="96"/>
  <c r="L33" i="96"/>
  <c r="K33" i="96"/>
  <c r="J33" i="96"/>
  <c r="I33" i="96"/>
  <c r="H33" i="96"/>
  <c r="G33" i="96"/>
  <c r="F33" i="96"/>
  <c r="E33" i="96"/>
  <c r="D33" i="96"/>
  <c r="C33" i="96"/>
  <c r="B33" i="96"/>
  <c r="AJ32" i="96"/>
  <c r="AI32" i="96"/>
  <c r="AH32" i="96"/>
  <c r="AG32" i="96"/>
  <c r="AF32" i="96"/>
  <c r="AE32" i="96"/>
  <c r="AD32" i="96"/>
  <c r="AC32" i="96"/>
  <c r="AB32" i="96"/>
  <c r="AA32" i="96"/>
  <c r="Z32" i="96"/>
  <c r="Y32" i="96"/>
  <c r="X32" i="96"/>
  <c r="W32" i="96"/>
  <c r="V32" i="96"/>
  <c r="U32" i="96"/>
  <c r="T32" i="96"/>
  <c r="S32" i="96"/>
  <c r="R32" i="96"/>
  <c r="Q32" i="96"/>
  <c r="P32" i="96"/>
  <c r="O32" i="96"/>
  <c r="N32" i="96"/>
  <c r="M32" i="96"/>
  <c r="L32" i="96"/>
  <c r="K32" i="96"/>
  <c r="J32" i="96"/>
  <c r="I32" i="96"/>
  <c r="H32" i="96"/>
  <c r="G32" i="96"/>
  <c r="F32" i="96"/>
  <c r="E32" i="96"/>
  <c r="D32" i="96"/>
  <c r="C32" i="96"/>
  <c r="B32" i="96"/>
  <c r="AJ31" i="96"/>
  <c r="AI31" i="96"/>
  <c r="AH31" i="96"/>
  <c r="AG31" i="96"/>
  <c r="AF31" i="96"/>
  <c r="AE31" i="96"/>
  <c r="AD31" i="96"/>
  <c r="AC31" i="96"/>
  <c r="AB31" i="96"/>
  <c r="AA31" i="96"/>
  <c r="Z31" i="96"/>
  <c r="Y31" i="96"/>
  <c r="X31" i="96"/>
  <c r="W31" i="96"/>
  <c r="V31" i="96"/>
  <c r="U31" i="96"/>
  <c r="T31" i="96"/>
  <c r="S31" i="96"/>
  <c r="R31" i="96"/>
  <c r="Q31" i="96"/>
  <c r="P31" i="96"/>
  <c r="O31" i="96"/>
  <c r="N31" i="96"/>
  <c r="M31" i="96"/>
  <c r="L31" i="96"/>
  <c r="K31" i="96"/>
  <c r="J31" i="96"/>
  <c r="I31" i="96"/>
  <c r="H31" i="96"/>
  <c r="G31" i="96"/>
  <c r="F31" i="96"/>
  <c r="E31" i="96"/>
  <c r="D31" i="96"/>
  <c r="C31" i="96"/>
  <c r="B31" i="96"/>
  <c r="AJ30" i="96"/>
  <c r="AI30" i="96"/>
  <c r="AH30" i="96"/>
  <c r="AG30" i="96"/>
  <c r="AF30" i="96"/>
  <c r="AE30" i="96"/>
  <c r="AD30" i="96"/>
  <c r="AC30" i="96"/>
  <c r="AB30" i="96"/>
  <c r="AA30" i="96"/>
  <c r="Z30" i="96"/>
  <c r="Y30" i="96"/>
  <c r="X30" i="96"/>
  <c r="W30" i="96"/>
  <c r="V30" i="96"/>
  <c r="U30" i="96"/>
  <c r="T30" i="96"/>
  <c r="S30" i="96"/>
  <c r="R30" i="96"/>
  <c r="Q30" i="96"/>
  <c r="P30" i="96"/>
  <c r="O30" i="96"/>
  <c r="N30" i="96"/>
  <c r="M30" i="96"/>
  <c r="L30" i="96"/>
  <c r="K30" i="96"/>
  <c r="J30" i="96"/>
  <c r="I30" i="96"/>
  <c r="H30" i="96"/>
  <c r="G30" i="96"/>
  <c r="F30" i="96"/>
  <c r="E30" i="96"/>
  <c r="D30" i="96"/>
  <c r="C30" i="96"/>
  <c r="B30" i="96"/>
  <c r="AJ29" i="96"/>
  <c r="AI29" i="96"/>
  <c r="AH29" i="96"/>
  <c r="AG29" i="96"/>
  <c r="AF29" i="96"/>
  <c r="AE29" i="96"/>
  <c r="AD29" i="96"/>
  <c r="AC29" i="96"/>
  <c r="AB29" i="96"/>
  <c r="AA29" i="96"/>
  <c r="Z29" i="96"/>
  <c r="Y29" i="96"/>
  <c r="X29" i="96"/>
  <c r="W29" i="96"/>
  <c r="V29" i="96"/>
  <c r="U29" i="96"/>
  <c r="T29" i="96"/>
  <c r="S29" i="96"/>
  <c r="R29" i="96"/>
  <c r="Q29" i="96"/>
  <c r="P29" i="96"/>
  <c r="O29" i="96"/>
  <c r="N29" i="96"/>
  <c r="M29" i="96"/>
  <c r="L29" i="96"/>
  <c r="K29" i="96"/>
  <c r="J29" i="96"/>
  <c r="I29" i="96"/>
  <c r="H29" i="96"/>
  <c r="G29" i="96"/>
  <c r="F29" i="96"/>
  <c r="E29" i="96"/>
  <c r="D29" i="96"/>
  <c r="C29" i="96"/>
  <c r="B29" i="96"/>
  <c r="AJ28" i="96"/>
  <c r="AI28" i="96"/>
  <c r="AH28" i="96"/>
  <c r="AG28" i="96"/>
  <c r="AF28" i="96"/>
  <c r="AE28" i="96"/>
  <c r="AD28" i="96"/>
  <c r="AC28" i="96"/>
  <c r="AB28" i="96"/>
  <c r="AA28" i="96"/>
  <c r="Z28" i="96"/>
  <c r="Y28" i="96"/>
  <c r="X28" i="96"/>
  <c r="W28" i="96"/>
  <c r="V28" i="96"/>
  <c r="U28" i="96"/>
  <c r="T28" i="96"/>
  <c r="S28" i="96"/>
  <c r="R28" i="96"/>
  <c r="Q28" i="96"/>
  <c r="P28" i="96"/>
  <c r="O28" i="96"/>
  <c r="N28" i="96"/>
  <c r="M28" i="96"/>
  <c r="L28" i="96"/>
  <c r="K28" i="96"/>
  <c r="J28" i="96"/>
  <c r="I28" i="96"/>
  <c r="H28" i="96"/>
  <c r="G28" i="96"/>
  <c r="F28" i="96"/>
  <c r="E28" i="96"/>
  <c r="D28" i="96"/>
  <c r="C28" i="96"/>
  <c r="B28" i="96"/>
  <c r="C4" i="96"/>
  <c r="AK32" i="95"/>
  <c r="AJ32" i="95"/>
  <c r="AI32" i="95"/>
  <c r="AH32" i="95"/>
  <c r="AG32" i="95"/>
  <c r="AF32" i="95"/>
  <c r="AE32" i="95"/>
  <c r="AD32" i="95"/>
  <c r="AC32" i="95"/>
  <c r="AB32" i="95"/>
  <c r="AA32" i="95"/>
  <c r="Z32" i="95"/>
  <c r="Y32" i="95"/>
  <c r="X32" i="95"/>
  <c r="W32" i="95"/>
  <c r="V32" i="95"/>
  <c r="U32" i="95"/>
  <c r="T32" i="95"/>
  <c r="S32" i="95"/>
  <c r="R32" i="95"/>
  <c r="Q32" i="95"/>
  <c r="P32" i="95"/>
  <c r="O32" i="95"/>
  <c r="N32" i="95"/>
  <c r="M32" i="95"/>
  <c r="L32" i="95"/>
  <c r="K32" i="95"/>
  <c r="J32" i="95"/>
  <c r="I32" i="95"/>
  <c r="H32" i="95"/>
  <c r="G32" i="95"/>
  <c r="F32" i="95"/>
  <c r="E32" i="95"/>
  <c r="D32" i="95"/>
  <c r="C32" i="95"/>
  <c r="AK31" i="95"/>
  <c r="AJ31" i="95"/>
  <c r="AI31" i="95"/>
  <c r="AH31" i="95"/>
  <c r="AG31" i="95"/>
  <c r="AF31" i="95"/>
  <c r="AE31" i="95"/>
  <c r="AD31" i="95"/>
  <c r="AC31" i="95"/>
  <c r="AB31" i="95"/>
  <c r="AA31" i="95"/>
  <c r="Z31" i="95"/>
  <c r="Y31" i="95"/>
  <c r="X31" i="95"/>
  <c r="W31" i="95"/>
  <c r="V31" i="95"/>
  <c r="U31" i="95"/>
  <c r="T31" i="95"/>
  <c r="S31" i="95"/>
  <c r="R31" i="95"/>
  <c r="Q31" i="95"/>
  <c r="P31" i="95"/>
  <c r="O31" i="95"/>
  <c r="N31" i="95"/>
  <c r="M31" i="95"/>
  <c r="L31" i="95"/>
  <c r="K31" i="95"/>
  <c r="J31" i="95"/>
  <c r="I31" i="95"/>
  <c r="H31" i="95"/>
  <c r="G31" i="95"/>
  <c r="F31" i="95"/>
  <c r="E31" i="95"/>
  <c r="D31" i="95"/>
  <c r="C31" i="95"/>
  <c r="AK30" i="95"/>
  <c r="AJ30" i="95"/>
  <c r="AI30" i="95"/>
  <c r="AH30" i="95"/>
  <c r="AG30" i="95"/>
  <c r="AF30" i="95"/>
  <c r="AE30" i="95"/>
  <c r="AD30" i="95"/>
  <c r="AC30" i="95"/>
  <c r="AB30" i="95"/>
  <c r="AA30" i="95"/>
  <c r="Z30" i="95"/>
  <c r="Y30" i="95"/>
  <c r="X30" i="95"/>
  <c r="W30" i="95"/>
  <c r="V30" i="95"/>
  <c r="U30" i="95"/>
  <c r="T30" i="95"/>
  <c r="S30" i="95"/>
  <c r="R30" i="95"/>
  <c r="Q30" i="95"/>
  <c r="P30" i="95"/>
  <c r="O30" i="95"/>
  <c r="N30" i="95"/>
  <c r="M30" i="95"/>
  <c r="L30" i="95"/>
  <c r="K30" i="95"/>
  <c r="J30" i="95"/>
  <c r="I30" i="95"/>
  <c r="H30" i="95"/>
  <c r="G30" i="95"/>
  <c r="F30" i="95"/>
  <c r="E30" i="95"/>
  <c r="D30" i="95"/>
  <c r="C30" i="95"/>
  <c r="AK29" i="95"/>
  <c r="AJ29" i="95"/>
  <c r="AI29" i="95"/>
  <c r="AH29" i="95"/>
  <c r="AG29" i="95"/>
  <c r="AF29" i="95"/>
  <c r="AE29" i="95"/>
  <c r="AD29" i="95"/>
  <c r="AC29" i="95"/>
  <c r="AB29" i="95"/>
  <c r="AA29" i="95"/>
  <c r="Z29" i="95"/>
  <c r="Y29" i="95"/>
  <c r="X29" i="95"/>
  <c r="W29" i="95"/>
  <c r="V29" i="95"/>
  <c r="U29" i="95"/>
  <c r="T29" i="95"/>
  <c r="S29" i="95"/>
  <c r="R29" i="95"/>
  <c r="Q29" i="95"/>
  <c r="P29" i="95"/>
  <c r="O29" i="95"/>
  <c r="N29" i="95"/>
  <c r="M29" i="95"/>
  <c r="L29" i="95"/>
  <c r="K29" i="95"/>
  <c r="J29" i="95"/>
  <c r="I29" i="95"/>
  <c r="H29" i="95"/>
  <c r="G29" i="95"/>
  <c r="F29" i="95"/>
  <c r="E29" i="95"/>
  <c r="D29" i="95"/>
  <c r="C29" i="95"/>
  <c r="AK28" i="95"/>
  <c r="AJ28" i="95"/>
  <c r="AI28" i="95"/>
  <c r="AH28" i="95"/>
  <c r="AG28" i="95"/>
  <c r="AF28" i="95"/>
  <c r="AE28" i="95"/>
  <c r="AD28" i="95"/>
  <c r="AC28" i="95"/>
  <c r="AB28" i="95"/>
  <c r="AA28" i="95"/>
  <c r="Z28" i="95"/>
  <c r="Y28" i="95"/>
  <c r="X28" i="95"/>
  <c r="W28" i="95"/>
  <c r="V28" i="95"/>
  <c r="U28" i="95"/>
  <c r="T28" i="95"/>
  <c r="S28" i="95"/>
  <c r="R28" i="95"/>
  <c r="Q28" i="95"/>
  <c r="P28" i="95"/>
  <c r="O28" i="95"/>
  <c r="N28" i="95"/>
  <c r="M28" i="95"/>
  <c r="L28" i="95"/>
  <c r="K28" i="95"/>
  <c r="J28" i="95"/>
  <c r="I28" i="95"/>
  <c r="H28" i="95"/>
  <c r="G28" i="95"/>
  <c r="F28" i="95"/>
  <c r="E28" i="95"/>
  <c r="D28" i="95"/>
  <c r="C28" i="95"/>
  <c r="AK27" i="95"/>
  <c r="AJ27" i="95"/>
  <c r="AI27" i="95"/>
  <c r="AH27" i="95"/>
  <c r="AG27" i="95"/>
  <c r="AF27" i="95"/>
  <c r="AE27" i="95"/>
  <c r="AD27" i="95"/>
  <c r="AC27" i="95"/>
  <c r="AB27" i="95"/>
  <c r="AA27" i="95"/>
  <c r="Z27" i="95"/>
  <c r="Y27" i="95"/>
  <c r="X27" i="95"/>
  <c r="W27" i="95"/>
  <c r="V27" i="95"/>
  <c r="U27" i="95"/>
  <c r="T27" i="95"/>
  <c r="S27" i="95"/>
  <c r="R27" i="95"/>
  <c r="Q27" i="95"/>
  <c r="P27" i="95"/>
  <c r="O27" i="95"/>
  <c r="N27" i="95"/>
  <c r="M27" i="95"/>
  <c r="L27" i="95"/>
  <c r="K27" i="95"/>
  <c r="J27" i="95"/>
  <c r="I27" i="95"/>
  <c r="H27" i="95"/>
  <c r="G27" i="95"/>
  <c r="F27" i="95"/>
  <c r="E27" i="95"/>
  <c r="D27" i="95"/>
  <c r="C27" i="95"/>
  <c r="E4" i="95"/>
  <c r="D4" i="95"/>
  <c r="D4" i="96" l="1"/>
  <c r="F4" i="95"/>
  <c r="G4" i="95" s="1"/>
  <c r="H4" i="95" s="1"/>
  <c r="I4" i="95" s="1"/>
  <c r="J4" i="95" s="1"/>
  <c r="K4" i="95" s="1"/>
  <c r="L4" i="95" s="1"/>
  <c r="M4" i="95" s="1"/>
  <c r="N4" i="95" s="1"/>
  <c r="O4" i="95" s="1"/>
  <c r="P4" i="95" s="1"/>
  <c r="Q4" i="95" s="1"/>
  <c r="R4" i="95" s="1"/>
  <c r="S4" i="95" s="1"/>
  <c r="T4" i="95" s="1"/>
  <c r="U4" i="95" s="1"/>
  <c r="V4" i="95" s="1"/>
  <c r="W4" i="95" s="1"/>
  <c r="X4" i="95" s="1"/>
  <c r="Y4" i="95" s="1"/>
  <c r="Z4" i="95" s="1"/>
  <c r="AA4" i="95" s="1"/>
  <c r="AB4" i="95" s="1"/>
  <c r="AC4" i="95" s="1"/>
  <c r="AD4" i="95" s="1"/>
  <c r="AE4" i="95" s="1"/>
  <c r="AF4" i="95" s="1"/>
  <c r="AG4" i="95" s="1"/>
  <c r="AH4" i="95" s="1"/>
  <c r="AI4" i="95" s="1"/>
  <c r="AJ4" i="95" s="1"/>
  <c r="AK4" i="95" s="1"/>
  <c r="AN13" i="95" a="1"/>
  <c r="AN13" i="95" s="1"/>
  <c r="AQ17" i="95" a="1"/>
  <c r="AQ17" i="95" s="1"/>
  <c r="AL21" i="95" a="1"/>
  <c r="AL21" i="95" s="1"/>
  <c r="AL15" i="95" a="1"/>
  <c r="AL15" i="95" s="1"/>
  <c r="AM11" i="95" a="1"/>
  <c r="AM11" i="95" s="1"/>
  <c r="AP15" i="95" a="1"/>
  <c r="AP15" i="95" s="1"/>
  <c r="AL5" i="95" a="1"/>
  <c r="AL5" i="95" s="1"/>
  <c r="AO5" i="95" a="1"/>
  <c r="AO5" i="95" s="1"/>
  <c r="AO13" i="95" a="1"/>
  <c r="AO13" i="95" s="1"/>
  <c r="AM21" i="95" a="1"/>
  <c r="AM21" i="95" s="1"/>
  <c r="AO9" i="95" a="1"/>
  <c r="AO9" i="95" s="1"/>
  <c r="AN17" i="95" a="1"/>
  <c r="AN17" i="95" s="1"/>
  <c r="AP7" i="95" a="1"/>
  <c r="AP7" i="95" s="1"/>
  <c r="AN11" i="95" a="1"/>
  <c r="AN11" i="95" s="1"/>
  <c r="AQ15" i="95" a="1"/>
  <c r="AQ15" i="95" s="1"/>
  <c r="AL19" i="95" a="1"/>
  <c r="AL19" i="95" s="1"/>
  <c r="AM17" i="95" a="1"/>
  <c r="AM17" i="95" s="1"/>
  <c r="AM9" i="95" a="1"/>
  <c r="AM9" i="95" s="1"/>
  <c r="AP21" i="95" a="1"/>
  <c r="AP21" i="95" s="1"/>
  <c r="AQ21" i="95" a="1"/>
  <c r="AQ21" i="95" s="1"/>
  <c r="AM15" i="95" a="1"/>
  <c r="AM15" i="95" s="1"/>
  <c r="AL7" i="95" a="1"/>
  <c r="AL7" i="95" s="1"/>
  <c r="AO11" i="95" a="1"/>
  <c r="AO11" i="95" s="1"/>
  <c r="AM5" i="95" a="1"/>
  <c r="AM5" i="95" s="1"/>
  <c r="AQ9" i="95" a="1"/>
  <c r="AQ9" i="95" s="1"/>
  <c r="AN9" i="95" a="1"/>
  <c r="AN9" i="95" s="1"/>
  <c r="AQ13" i="95" a="1"/>
  <c r="AQ13" i="95" s="1"/>
  <c r="E4" i="96" l="1"/>
  <c r="AN5" i="95" a="1"/>
  <c r="AN5" i="95" s="1"/>
  <c r="AM19" i="95" a="1"/>
  <c r="AM19" i="95" s="1"/>
  <c r="AR19" i="95" s="1"/>
  <c r="AP17" i="95" a="1"/>
  <c r="AP17" i="95" s="1"/>
  <c r="AP9" i="95" a="1"/>
  <c r="AP9" i="95" s="1"/>
  <c r="AP5" i="95" a="1"/>
  <c r="AP5" i="95" s="1"/>
  <c r="AN21" i="95" a="1"/>
  <c r="AN21" i="95" s="1"/>
  <c r="AR21" i="95" s="1"/>
  <c r="AM13" i="95" a="1"/>
  <c r="AM13" i="95" s="1"/>
  <c r="AL9" i="95" a="1"/>
  <c r="AL9" i="95" s="1"/>
  <c r="AR9" i="95" s="1"/>
  <c r="AP13" i="95" a="1"/>
  <c r="AP13" i="95" s="1"/>
  <c r="AQ5" i="95" a="1"/>
  <c r="AQ5" i="95" s="1"/>
  <c r="AQ11" i="95" a="1"/>
  <c r="AQ11" i="95" s="1"/>
  <c r="AP11" i="95" a="1"/>
  <c r="AP11" i="95" s="1"/>
  <c r="AQ19" i="95" a="1"/>
  <c r="AQ19" i="95" s="1"/>
  <c r="AN15" i="95" a="1"/>
  <c r="AN15" i="95" s="1"/>
  <c r="AR15" i="95" s="1"/>
  <c r="AO15" i="95" a="1"/>
  <c r="AO15" i="95" s="1"/>
  <c r="AM7" i="95" a="1"/>
  <c r="AM7" i="95" s="1"/>
  <c r="AR7" i="95" s="1"/>
  <c r="AO7" i="95" a="1"/>
  <c r="AO7" i="95" s="1"/>
  <c r="AO17" i="95" a="1"/>
  <c r="AO17" i="95" s="1"/>
  <c r="AL11" i="95" a="1"/>
  <c r="AL11" i="95" s="1"/>
  <c r="AR11" i="95" s="1"/>
  <c r="AL17" i="95" a="1"/>
  <c r="AL17" i="95" s="1"/>
  <c r="AR17" i="95" s="1"/>
  <c r="AN7" i="95" a="1"/>
  <c r="AN7" i="95" s="1"/>
  <c r="AO19" i="95" a="1"/>
  <c r="AO19" i="95" s="1"/>
  <c r="AQ7" i="95" a="1"/>
  <c r="AQ7" i="95" s="1"/>
  <c r="AR5" i="95"/>
  <c r="AL13" i="95" a="1"/>
  <c r="AL13" i="95" s="1"/>
  <c r="AR13" i="95" s="1"/>
  <c r="AP19" i="95" a="1"/>
  <c r="AP19" i="95" s="1"/>
  <c r="AO21" i="95" a="1"/>
  <c r="AO21" i="95" s="1"/>
  <c r="AN19" i="95" a="1"/>
  <c r="AN19" i="95" s="1"/>
  <c r="F4" i="96" l="1"/>
  <c r="G4" i="96" l="1"/>
  <c r="H4" i="96" s="1"/>
  <c r="I4" i="96" s="1"/>
  <c r="J4" i="96" s="1"/>
  <c r="K4" i="96" s="1"/>
  <c r="L4" i="96" s="1"/>
  <c r="M4" i="96" s="1"/>
  <c r="N4" i="96" s="1"/>
  <c r="O4" i="96" s="1"/>
  <c r="P4" i="96" s="1"/>
  <c r="Q4" i="96" s="1"/>
  <c r="R4" i="96" s="1"/>
  <c r="S4" i="96" s="1"/>
  <c r="T4" i="96" s="1"/>
  <c r="U4" i="96" s="1"/>
  <c r="V4" i="96" s="1"/>
  <c r="W4" i="96" s="1"/>
  <c r="X4" i="96" s="1"/>
  <c r="Y4" i="96" s="1"/>
  <c r="Z4" i="96" s="1"/>
  <c r="AA4" i="96" s="1"/>
  <c r="AB4" i="96" s="1"/>
  <c r="AC4" i="96" s="1"/>
  <c r="AD4" i="96" s="1"/>
  <c r="AE4" i="96" s="1"/>
  <c r="AF4" i="96" s="1"/>
  <c r="AG4" i="96" s="1"/>
  <c r="AH4" i="96" s="1"/>
  <c r="AI4" i="96" s="1"/>
  <c r="AJ4" i="96" s="1"/>
  <c r="AL13" i="96" s="1" a="1"/>
  <c r="AL13" i="96" s="1"/>
  <c r="AN15" i="96" a="1"/>
  <c r="AN15" i="96" s="1"/>
  <c r="AN13" i="96" a="1"/>
  <c r="AN13" i="96" s="1"/>
  <c r="AO17" i="96" a="1"/>
  <c r="AO17" i="96" s="1"/>
  <c r="AM17" i="96" a="1"/>
  <c r="AM17" i="96" s="1"/>
  <c r="AK9" i="96" a="1"/>
  <c r="AK9" i="96" s="1"/>
  <c r="AP17" i="96" a="1"/>
  <c r="AP17" i="96" s="1"/>
  <c r="AK15" i="96" a="1"/>
  <c r="AK15" i="96" s="1"/>
  <c r="AP5" i="96" a="1"/>
  <c r="AP5" i="96" s="1"/>
  <c r="AP11" i="96" a="1"/>
  <c r="AP11" i="96" s="1"/>
  <c r="AL11" i="96" a="1"/>
  <c r="AL11" i="96" s="1"/>
  <c r="AM7" i="96" a="1"/>
  <c r="AM7" i="96" s="1"/>
  <c r="AM13" i="96" a="1"/>
  <c r="AM13" i="96" s="1"/>
  <c r="AM5" i="96" a="1"/>
  <c r="AM5" i="96" s="1"/>
  <c r="AK7" i="96" a="1"/>
  <c r="AK7" i="96" s="1"/>
  <c r="AK11" i="96" a="1"/>
  <c r="AK11" i="96" s="1"/>
  <c r="AM15" i="96" a="1"/>
  <c r="AM15" i="96" s="1"/>
  <c r="AO13" i="96" a="1"/>
  <c r="AO13" i="96" s="1"/>
  <c r="AN9" i="96" a="1"/>
  <c r="AN9" i="96" s="1"/>
  <c r="AP21" i="96" a="1"/>
  <c r="AP21" i="96" s="1"/>
  <c r="AP15" i="96" a="1"/>
  <c r="AP15" i="96" s="1"/>
  <c r="AO15" i="96" a="1"/>
  <c r="AO15" i="96" s="1"/>
  <c r="AL9" i="96" a="1"/>
  <c r="AL9" i="96" s="1"/>
  <c r="AK21" i="96" a="1"/>
  <c r="AK21" i="96" s="1"/>
  <c r="AM19" i="96" a="1"/>
  <c r="AM19" i="96" s="1"/>
  <c r="AN19" i="96" a="1"/>
  <c r="AN19" i="96" s="1"/>
  <c r="AK5" i="96" a="1"/>
  <c r="AK5" i="96" s="1"/>
  <c r="AM11" i="96" a="1"/>
  <c r="AM11" i="96" s="1"/>
  <c r="AK17" i="96" a="1"/>
  <c r="AK17" i="96" s="1"/>
  <c r="AL7" i="96" a="1"/>
  <c r="AL7" i="96" s="1"/>
  <c r="AL21" i="96" l="1" a="1"/>
  <c r="AL21" i="96" s="1"/>
  <c r="AP7" i="96" a="1"/>
  <c r="AP7" i="96" s="1"/>
  <c r="AO21" i="96" a="1"/>
  <c r="AO21" i="96" s="1"/>
  <c r="AN11" i="96" a="1"/>
  <c r="AN11" i="96" s="1"/>
  <c r="AN5" i="96" a="1"/>
  <c r="AN5" i="96" s="1"/>
  <c r="AO7" i="96" a="1"/>
  <c r="AO7" i="96" s="1"/>
  <c r="AM21" i="96" a="1"/>
  <c r="AM21" i="96" s="1"/>
  <c r="AP9" i="96" a="1"/>
  <c r="AP9" i="96" s="1"/>
  <c r="AN7" i="96" a="1"/>
  <c r="AN7" i="96" s="1"/>
  <c r="AQ7" i="96" s="1"/>
  <c r="AL19" i="96" a="1"/>
  <c r="AL19" i="96" s="1"/>
  <c r="AK13" i="96" a="1"/>
  <c r="AK13" i="96" s="1"/>
  <c r="AQ13" i="96" s="1"/>
  <c r="AL17" i="96" a="1"/>
  <c r="AL17" i="96" s="1"/>
  <c r="AN17" i="96" a="1"/>
  <c r="AN17" i="96" s="1"/>
  <c r="AP19" i="96" a="1"/>
  <c r="AP19" i="96" s="1"/>
  <c r="AQ11" i="96"/>
  <c r="AO11" i="96" a="1"/>
  <c r="AO11" i="96" s="1"/>
  <c r="AM9" i="96" a="1"/>
  <c r="AM9" i="96" s="1"/>
  <c r="AQ9" i="96" s="1"/>
  <c r="AP13" i="96" a="1"/>
  <c r="AP13" i="96" s="1"/>
  <c r="AL5" i="96" a="1"/>
  <c r="AL5" i="96" s="1"/>
  <c r="AQ5" i="96" s="1"/>
  <c r="AN21" i="96" a="1"/>
  <c r="AN21" i="96" s="1"/>
  <c r="AO9" i="96" a="1"/>
  <c r="AO9" i="96" s="1"/>
  <c r="AO19" i="96" a="1"/>
  <c r="AO19" i="96" s="1"/>
  <c r="AO5" i="96" a="1"/>
  <c r="AO5" i="96" s="1"/>
  <c r="AL15" i="96" a="1"/>
  <c r="AL15" i="96" s="1"/>
  <c r="AQ15" i="96" s="1"/>
  <c r="AK19" i="96" a="1"/>
  <c r="AK19" i="96" s="1"/>
  <c r="AQ19" i="96" s="1"/>
  <c r="AQ21" i="96" l="1"/>
  <c r="AQ17" i="96"/>
  <c r="C4" i="83"/>
  <c r="AJ32" i="83"/>
  <c r="AI32" i="83"/>
  <c r="AH32" i="83"/>
  <c r="AG32" i="83"/>
  <c r="AF32" i="83"/>
  <c r="AE32" i="83"/>
  <c r="AD32" i="83"/>
  <c r="AC32" i="83"/>
  <c r="AB32" i="83"/>
  <c r="AA32" i="83"/>
  <c r="Z32" i="83"/>
  <c r="Y32" i="83"/>
  <c r="X32" i="83"/>
  <c r="W32" i="83"/>
  <c r="V32" i="83"/>
  <c r="U32" i="83"/>
  <c r="T32" i="83"/>
  <c r="S32" i="83"/>
  <c r="R32" i="83"/>
  <c r="Q32" i="83"/>
  <c r="P32" i="83"/>
  <c r="O32" i="83"/>
  <c r="N32" i="83"/>
  <c r="M32" i="83"/>
  <c r="L32" i="83"/>
  <c r="K32" i="83"/>
  <c r="J32" i="83"/>
  <c r="I32" i="83"/>
  <c r="H32" i="83"/>
  <c r="G32" i="83"/>
  <c r="F32" i="83"/>
  <c r="E32" i="83"/>
  <c r="D32" i="83"/>
  <c r="C32" i="83"/>
  <c r="B32" i="83"/>
  <c r="AJ31" i="83"/>
  <c r="AI31" i="83"/>
  <c r="AH31" i="83"/>
  <c r="AG31" i="83"/>
  <c r="AF31" i="83"/>
  <c r="AE31" i="83"/>
  <c r="AD31" i="83"/>
  <c r="AC31" i="83"/>
  <c r="AB31" i="83"/>
  <c r="AA31" i="83"/>
  <c r="Z31" i="83"/>
  <c r="Y31" i="83"/>
  <c r="X31" i="83"/>
  <c r="W31" i="83"/>
  <c r="V31" i="83"/>
  <c r="U31" i="83"/>
  <c r="T31" i="83"/>
  <c r="S31" i="83"/>
  <c r="R31" i="83"/>
  <c r="Q31" i="83"/>
  <c r="P31" i="83"/>
  <c r="O31" i="83"/>
  <c r="N31" i="83"/>
  <c r="M31" i="83"/>
  <c r="L31" i="83"/>
  <c r="K31" i="83"/>
  <c r="J31" i="83"/>
  <c r="I31" i="83"/>
  <c r="H31" i="83"/>
  <c r="G31" i="83"/>
  <c r="F31" i="83"/>
  <c r="E31" i="83"/>
  <c r="D31" i="83"/>
  <c r="C31" i="83"/>
  <c r="B31" i="83"/>
  <c r="AJ30" i="83"/>
  <c r="AI30" i="83"/>
  <c r="AH30" i="83"/>
  <c r="AG30" i="83"/>
  <c r="AF30" i="83"/>
  <c r="AE30" i="83"/>
  <c r="AD30" i="83"/>
  <c r="AC30" i="83"/>
  <c r="AB30" i="83"/>
  <c r="AA30" i="83"/>
  <c r="Z30" i="83"/>
  <c r="Y30" i="83"/>
  <c r="X30" i="83"/>
  <c r="W30" i="83"/>
  <c r="V30" i="83"/>
  <c r="U30" i="83"/>
  <c r="T30" i="83"/>
  <c r="S30" i="83"/>
  <c r="R30" i="83"/>
  <c r="Q30" i="83"/>
  <c r="P30" i="83"/>
  <c r="O30" i="83"/>
  <c r="N30" i="83"/>
  <c r="M30" i="83"/>
  <c r="L30" i="83"/>
  <c r="K30" i="83"/>
  <c r="J30" i="83"/>
  <c r="I30" i="83"/>
  <c r="H30" i="83"/>
  <c r="G30" i="83"/>
  <c r="F30" i="83"/>
  <c r="E30" i="83"/>
  <c r="D30" i="83"/>
  <c r="C30" i="83"/>
  <c r="B30" i="83"/>
  <c r="AJ29" i="83"/>
  <c r="AI29" i="83"/>
  <c r="AH29" i="83"/>
  <c r="AG29" i="83"/>
  <c r="AF29" i="83"/>
  <c r="AE29" i="83"/>
  <c r="AD29" i="83"/>
  <c r="AC29" i="83"/>
  <c r="AB29" i="83"/>
  <c r="AA29" i="83"/>
  <c r="Z29" i="83"/>
  <c r="Y29" i="83"/>
  <c r="X29" i="83"/>
  <c r="W29" i="83"/>
  <c r="V29" i="83"/>
  <c r="U29" i="83"/>
  <c r="T29" i="83"/>
  <c r="S29" i="83"/>
  <c r="R29" i="83"/>
  <c r="Q29" i="83"/>
  <c r="P29" i="83"/>
  <c r="O29" i="83"/>
  <c r="N29" i="83"/>
  <c r="M29" i="83"/>
  <c r="L29" i="83"/>
  <c r="K29" i="83"/>
  <c r="J29" i="83"/>
  <c r="I29" i="83"/>
  <c r="H29" i="83"/>
  <c r="G29" i="83"/>
  <c r="F29" i="83"/>
  <c r="E29" i="83"/>
  <c r="D29" i="83"/>
  <c r="C29" i="83"/>
  <c r="B29" i="83"/>
  <c r="AJ28" i="83"/>
  <c r="AI28" i="83"/>
  <c r="AH28" i="83"/>
  <c r="AG28" i="83"/>
  <c r="AF28" i="83"/>
  <c r="AE28" i="83"/>
  <c r="AD28" i="83"/>
  <c r="AC28" i="83"/>
  <c r="AB28" i="83"/>
  <c r="AA28" i="83"/>
  <c r="Z28" i="83"/>
  <c r="Y28" i="83"/>
  <c r="X28" i="83"/>
  <c r="W28" i="83"/>
  <c r="V28" i="83"/>
  <c r="U28" i="83"/>
  <c r="T28" i="83"/>
  <c r="S28" i="83"/>
  <c r="R28" i="83"/>
  <c r="Q28" i="83"/>
  <c r="P28" i="83"/>
  <c r="O28" i="83"/>
  <c r="N28" i="83"/>
  <c r="M28" i="83"/>
  <c r="L28" i="83"/>
  <c r="K28" i="83"/>
  <c r="J28" i="83"/>
  <c r="I28" i="83"/>
  <c r="H28" i="83"/>
  <c r="G28" i="83"/>
  <c r="F28" i="83"/>
  <c r="E28" i="83"/>
  <c r="D28" i="83"/>
  <c r="C28" i="83"/>
  <c r="B28" i="83"/>
  <c r="AJ27" i="83"/>
  <c r="AI27" i="83"/>
  <c r="AH27" i="83"/>
  <c r="AG27" i="83"/>
  <c r="AF27" i="83"/>
  <c r="AE27" i="83"/>
  <c r="AD27" i="83"/>
  <c r="AC27" i="83"/>
  <c r="AB27" i="83"/>
  <c r="AA27" i="83"/>
  <c r="Z27" i="83"/>
  <c r="Y27" i="83"/>
  <c r="X27" i="83"/>
  <c r="W27" i="83"/>
  <c r="V27" i="83"/>
  <c r="U27" i="83"/>
  <c r="T27" i="83"/>
  <c r="S27" i="83"/>
  <c r="R27" i="83"/>
  <c r="Q27" i="83"/>
  <c r="P27" i="83"/>
  <c r="O27" i="83"/>
  <c r="N27" i="83"/>
  <c r="M27" i="83"/>
  <c r="L27" i="83"/>
  <c r="K27" i="83"/>
  <c r="J27" i="83"/>
  <c r="I27" i="83"/>
  <c r="H27" i="83"/>
  <c r="G27" i="83"/>
  <c r="F27" i="83"/>
  <c r="E27" i="83"/>
  <c r="D27" i="83"/>
  <c r="C27" i="83"/>
  <c r="B27" i="83"/>
  <c r="D4" i="83" l="1"/>
  <c r="E4" i="83" s="1"/>
  <c r="F4" i="83" s="1"/>
  <c r="G4" i="83" s="1"/>
  <c r="H4" i="83" s="1"/>
  <c r="I4" i="83" s="1"/>
  <c r="J4" i="83" s="1"/>
  <c r="K4" i="83" s="1"/>
  <c r="L4" i="83" s="1"/>
  <c r="M4" i="83" s="1"/>
  <c r="N4" i="83" s="1"/>
  <c r="O4" i="83" s="1"/>
  <c r="P4" i="83" s="1"/>
  <c r="Q4" i="83" s="1"/>
  <c r="R4" i="83" s="1"/>
  <c r="S4" i="83" s="1"/>
  <c r="T4" i="83" s="1"/>
  <c r="U4" i="83" s="1"/>
  <c r="V4" i="83" s="1"/>
  <c r="W4" i="83" s="1"/>
  <c r="X4" i="83" s="1"/>
  <c r="Y4" i="83" s="1"/>
  <c r="Z4" i="83" s="1"/>
  <c r="AA4" i="83" s="1"/>
  <c r="AB4" i="83" s="1"/>
  <c r="AC4" i="83" s="1"/>
  <c r="AD4" i="83" s="1"/>
  <c r="AE4" i="83" s="1"/>
  <c r="AF4" i="83" s="1"/>
  <c r="AG4" i="83" s="1"/>
  <c r="AH4" i="83" s="1"/>
  <c r="AI4" i="83" s="1"/>
  <c r="AJ4" i="83" s="1"/>
  <c r="AN13" i="83" a="1"/>
  <c r="AN13" i="83" s="1"/>
  <c r="AO19" i="83" a="1"/>
  <c r="AO19" i="83" s="1"/>
  <c r="AK17" i="83" a="1"/>
  <c r="AK17" i="83" s="1"/>
  <c r="AN5" i="83" a="1"/>
  <c r="AN5" i="83" s="1"/>
  <c r="AO7" i="83" a="1"/>
  <c r="AO7" i="83" s="1"/>
  <c r="AM11" i="83" a="1"/>
  <c r="AM11" i="83" s="1"/>
  <c r="AP15" i="83" a="1"/>
  <c r="AP15" i="83" s="1"/>
  <c r="AP17" i="83" a="1"/>
  <c r="AP17" i="83" s="1"/>
  <c r="AL13" i="83" a="1"/>
  <c r="AL13" i="83" s="1"/>
  <c r="AN7" i="83" a="1"/>
  <c r="AN7" i="83" s="1"/>
  <c r="AM7" i="83" a="1"/>
  <c r="AM7" i="83" s="1"/>
  <c r="AN11" i="83" a="1"/>
  <c r="AN11" i="83" s="1"/>
  <c r="AP19" i="83" a="1"/>
  <c r="AP19" i="83" s="1"/>
  <c r="AO17" i="83" a="1"/>
  <c r="AO17" i="83" s="1"/>
  <c r="AN17" i="83" a="1"/>
  <c r="AN17" i="83" s="1"/>
  <c r="AP11" i="83" a="1"/>
  <c r="AP11" i="83" s="1"/>
  <c r="AL7" i="83" a="1"/>
  <c r="AL7" i="83" s="1"/>
  <c r="AO11" i="83" a="1"/>
  <c r="AO11" i="83" s="1"/>
  <c r="AK7" i="83" a="1"/>
  <c r="AK7" i="83" s="1"/>
  <c r="AN19" i="83" a="1"/>
  <c r="AN19" i="83" s="1"/>
  <c r="AL11" i="83" a="1"/>
  <c r="AL11" i="83" s="1"/>
  <c r="AM17" i="83" a="1"/>
  <c r="AM17" i="83" s="1"/>
  <c r="AM21" i="83" a="1"/>
  <c r="AM21" i="83" s="1"/>
  <c r="AO15" i="83" a="1"/>
  <c r="AO15" i="83" s="1"/>
  <c r="AK11" i="83" a="1"/>
  <c r="AK11" i="83" s="1"/>
  <c r="AM5" i="83" a="1"/>
  <c r="AM5" i="83" s="1"/>
  <c r="AL21" i="83" a="1"/>
  <c r="AL21" i="83" s="1"/>
  <c r="AN15" i="83" a="1"/>
  <c r="AN15" i="83" s="1"/>
  <c r="AP9" i="83" a="1"/>
  <c r="AP9" i="83" s="1"/>
  <c r="AK21" i="83" a="1"/>
  <c r="AK21" i="83" s="1"/>
  <c r="AM15" i="83" a="1"/>
  <c r="AM15" i="83" s="1"/>
  <c r="AO9" i="83" a="1"/>
  <c r="AO9" i="83" s="1"/>
  <c r="AK5" i="83" a="1"/>
  <c r="AK5" i="83" s="1"/>
  <c r="AK15" i="83" a="1"/>
  <c r="AK15" i="83" s="1"/>
  <c r="AN21" i="83" a="1"/>
  <c r="AN21" i="83" s="1"/>
  <c r="AL9" i="83" a="1"/>
  <c r="AL9" i="83" s="1"/>
  <c r="AP21" i="83" a="1"/>
  <c r="AP21" i="83" s="1"/>
  <c r="AL15" i="83" a="1"/>
  <c r="AL15" i="83" s="1"/>
  <c r="AN9" i="83" a="1"/>
  <c r="AN9" i="83" s="1"/>
  <c r="AO21" i="83" a="1"/>
  <c r="AO21" i="83" s="1"/>
  <c r="AM9" i="83" a="1"/>
  <c r="AM9" i="83" s="1"/>
  <c r="AP13" i="83" a="1"/>
  <c r="AP13" i="83" s="1"/>
  <c r="AK9" i="83" l="1" a="1"/>
  <c r="AK9" i="83" s="1"/>
  <c r="AQ9" i="83" s="1"/>
  <c r="AP5" i="83" a="1"/>
  <c r="AP5" i="83" s="1"/>
  <c r="AK13" i="83" a="1"/>
  <c r="AK13" i="83" s="1"/>
  <c r="AM13" i="83" a="1"/>
  <c r="AM13" i="83" s="1"/>
  <c r="AK19" i="83" a="1"/>
  <c r="AK19" i="83" s="1"/>
  <c r="AL5" i="83" a="1"/>
  <c r="AL5" i="83" s="1"/>
  <c r="AQ5" i="83" s="1"/>
  <c r="AO5" i="83" a="1"/>
  <c r="AO5" i="83" s="1"/>
  <c r="AL17" i="83" a="1"/>
  <c r="AL17" i="83" s="1"/>
  <c r="AQ17" i="83" s="1"/>
  <c r="AP7" i="83" a="1"/>
  <c r="AP7" i="83" s="1"/>
  <c r="AL19" i="83" a="1"/>
  <c r="AL19" i="83" s="1"/>
  <c r="AQ7" i="83"/>
  <c r="AQ15" i="83"/>
  <c r="AQ21" i="83"/>
  <c r="AQ11" i="83"/>
  <c r="AO13" i="83" a="1"/>
  <c r="AO13" i="83" s="1"/>
  <c r="AM19" i="83" a="1"/>
  <c r="AM19" i="83" s="1"/>
  <c r="AQ13" i="83" l="1"/>
  <c r="AQ19" i="8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<sst xmlns="http://schemas.openxmlformats.org/spreadsheetml/2006/main" count="894" uniqueCount="58">
  <si>
    <t>PROGRAMA: SERVICIO DE ALIMENTOS ASEM</t>
  </si>
  <si>
    <t>Cocina-Centro</t>
  </si>
  <si>
    <t>Feriado</t>
  </si>
  <si>
    <t>Nombre Empleado</t>
  </si>
  <si>
    <t>D</t>
  </si>
  <si>
    <t>L</t>
  </si>
  <si>
    <t>M</t>
  </si>
  <si>
    <t>W</t>
  </si>
  <si>
    <t>J</t>
  </si>
  <si>
    <t>V</t>
  </si>
  <si>
    <t>S</t>
  </si>
  <si>
    <t>4/12</t>
  </si>
  <si>
    <t>4:30</t>
  </si>
  <si>
    <t>5/1</t>
  </si>
  <si>
    <t>5:30</t>
  </si>
  <si>
    <t>6/2</t>
  </si>
  <si>
    <t>10/6</t>
  </si>
  <si>
    <t>Total-Madru</t>
  </si>
  <si>
    <t>Victor Vazquez Tirado</t>
  </si>
  <si>
    <t>ENF</t>
  </si>
  <si>
    <t>F</t>
  </si>
  <si>
    <t>Andres Rivera Maldonado</t>
  </si>
  <si>
    <t>4/2</t>
  </si>
  <si>
    <t>LR</t>
  </si>
  <si>
    <t>***</t>
  </si>
  <si>
    <t>Ernix E. Yace Chinea</t>
  </si>
  <si>
    <t>Alvin Nieves Huertas</t>
  </si>
  <si>
    <t>4:30 / 12:30</t>
  </si>
  <si>
    <t>ALM</t>
  </si>
  <si>
    <t>Carolyn Betancourt Acosta</t>
  </si>
  <si>
    <t>Carlos Rivera Rivera</t>
  </si>
  <si>
    <t>Lillian Diaz Mendez</t>
  </si>
  <si>
    <t>Sixto Sierra González</t>
  </si>
  <si>
    <t>CC</t>
  </si>
  <si>
    <t>Angel Baez Rivera</t>
  </si>
  <si>
    <t>Programa sujeto a cambio según las necesidades del servicio.</t>
  </si>
  <si>
    <t>Lcdo. Carmelo II Allende Martínez</t>
  </si>
  <si>
    <t>Gerente</t>
  </si>
  <si>
    <t>5:30 / 1:30</t>
  </si>
  <si>
    <t>*AM*</t>
  </si>
  <si>
    <t>Lcda. Mayte Quiñones</t>
  </si>
  <si>
    <t>Total Madru</t>
  </si>
  <si>
    <t>FISICO</t>
  </si>
  <si>
    <t>DEV</t>
  </si>
  <si>
    <t>Cocina-Centro de Distribución</t>
  </si>
  <si>
    <t>7/3</t>
  </si>
  <si>
    <t>4:30 / 6:00</t>
  </si>
  <si>
    <t>8/12</t>
  </si>
  <si>
    <t>FSE</t>
  </si>
  <si>
    <t>VVT</t>
  </si>
  <si>
    <t>ARM</t>
  </si>
  <si>
    <t>EYC</t>
  </si>
  <si>
    <t>ANH</t>
  </si>
  <si>
    <t>CBA</t>
  </si>
  <si>
    <t>CRR</t>
  </si>
  <si>
    <t>LDM</t>
  </si>
  <si>
    <t>SSG</t>
  </si>
  <si>
    <t>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</si>
</sst>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2" x14ac:knownFonts="1">
    <font>
      <sz val="11"/>
      <color theme="1"/>
      <name val="Calibri"/>
      <family val="2"/>
      <scheme val="minor"/>
    </font>
    <font>
      <b/>
      <sz val="12"/>
      <name val="Century Gothic"/>
      <family val="2"/>
    </font>
    <font>
      <b/>
      <sz val="10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0"/>
      <color theme="1"/>
      <name val="Century Gothic"/>
      <family val="2"/>
    </font>
    <font>
      <b/>
      <sz val="11"/>
      <name val="Century Gothic"/>
      <family val="2"/>
    </font>
    <font>
      <sz val="10"/>
      <color theme="1"/>
      <name val="Century Gothic"/>
      <family val="2"/>
    </font>
    <font>
      <b/>
      <sz val="8"/>
      <color theme="1"/>
      <name val="Century Gothic"/>
      <family val="2"/>
    </font>
    <font>
      <b/>
      <sz val="7"/>
      <color theme="1"/>
      <name val="Century Gothic"/>
      <family val="2"/>
    </font>
    <font>
      <b/>
      <sz val="7"/>
      <color rgb="FF000000"/>
      <name val="Century Gothic"/>
      <family val="2"/>
    </font>
    <font>
      <sz val="8"/>
      <color theme="1"/>
      <name val="Century Gothic"/>
      <family val="2"/>
    </font>
    <font>
      <sz val="10"/>
      <color rgb="FF000000"/>
      <name val="Century Gothic"/>
      <family val="2"/>
    </font>
    <font>
      <sz val="11"/>
      <name val="Ubuntu Mono"/>
      <family val="3"/>
    </font>
    <font>
      <sz val="8"/>
      <color rgb="FF000000"/>
      <name val="Century Gothic"/>
      <family val="2"/>
    </font>
    <font>
      <b/>
      <sz val="9"/>
      <name val="Century Gothic"/>
      <family val="2"/>
    </font>
    <font>
      <sz val="6"/>
      <color rgb="FF000000"/>
      <name val="Century Gothic"/>
      <family val="2"/>
    </font>
    <font>
      <b/>
      <sz val="8"/>
      <color rgb="FF000000"/>
      <name val="Century Gothic"/>
      <family val="2"/>
    </font>
    <font>
      <b/>
      <sz val="9"/>
      <color rgb="FF000000"/>
      <name val="Century Gothic"/>
      <family val="2"/>
    </font>
    <font>
      <b/>
      <sz val="12"/>
      <color theme="1"/>
      <name val="Century Gothic"/>
      <family val="2"/>
    </font>
    <font>
      <sz val="10"/>
      <color theme="1" tint="4.9989318521683403E-2"/>
      <name val="Menlo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FC9EF"/>
        <bgColor indexed="64"/>
      </patternFill>
    </fill>
    <fill>
      <patternFill patternType="solid">
        <fgColor rgb="FFEADCF4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 style="thick">
        <color indexed="64"/>
      </top>
      <bottom style="thin">
        <color indexed="64"/>
      </bottom>
      <diagonal/>
    </border>
    <border>
      <left style="thin">
        <color rgb="FF000000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rgb="FF000000"/>
      </right>
      <top style="thick">
        <color indexed="64"/>
      </top>
      <bottom/>
      <diagonal/>
    </border>
    <border>
      <left style="thin">
        <color rgb="FF000000"/>
      </left>
      <right style="thin">
        <color rgb="FF000000"/>
      </right>
      <top style="thick">
        <color indexed="64"/>
      </top>
      <bottom/>
      <diagonal/>
    </border>
    <border>
      <left style="thin">
        <color rgb="FF000000"/>
      </left>
      <right style="thick">
        <color indexed="64"/>
      </right>
      <top style="thick">
        <color indexed="64"/>
      </top>
      <bottom/>
      <diagonal/>
    </border>
    <border>
      <left style="thin">
        <color rgb="FF000000"/>
      </left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1" fillId="0" borderId="0" xfId="0" applyFont="1" applyProtection="1">
      <protection locked="0"/>
    </xf>
    <xf numFmtId="0" fontId="3" fillId="0" borderId="0" xfId="0" applyFont="1"/>
    <xf numFmtId="49" fontId="4" fillId="0" borderId="0" xfId="0" applyNumberFormat="1" applyFont="1" applyAlignment="1">
      <alignment horizontal="center" vertical="center"/>
    </xf>
    <xf numFmtId="0" fontId="4" fillId="0" borderId="0" xfId="0" applyFont="1"/>
    <xf numFmtId="49" fontId="4" fillId="0" borderId="0" xfId="0" applyNumberFormat="1" applyFont="1" applyAlignment="1">
      <alignment horizontal="right"/>
    </xf>
    <xf numFmtId="49" fontId="3" fillId="0" borderId="0" xfId="0" applyNumberFormat="1" applyFont="1" applyAlignment="1">
      <alignment horizontal="right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39" xfId="0" applyFont="1" applyFill="1" applyBorder="1" applyAlignment="1" applyProtection="1">
      <alignment vertical="center" wrapText="1"/>
      <protection locked="0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/>
    <xf numFmtId="0" fontId="7" fillId="0" borderId="0" xfId="0" applyFont="1" applyAlignment="1" applyProtection="1">
      <alignment horizontal="center" wrapText="1"/>
      <protection locked="0"/>
    </xf>
    <xf numFmtId="49" fontId="0" fillId="0" borderId="0" xfId="0" applyNumberFormat="1"/>
    <xf numFmtId="49" fontId="13" fillId="3" borderId="13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3" xfId="0" applyNumberFormat="1" applyFont="1" applyBorder="1" applyAlignment="1" applyProtection="1">
      <alignment horizontal="center" vertical="center" wrapText="1"/>
      <protection locked="0"/>
    </xf>
    <xf numFmtId="49" fontId="13" fillId="0" borderId="16" xfId="0" applyNumberFormat="1" applyFont="1" applyBorder="1" applyAlignment="1" applyProtection="1">
      <alignment horizontal="center" vertical="center" wrapText="1"/>
      <protection locked="0"/>
    </xf>
    <xf numFmtId="49" fontId="13" fillId="0" borderId="13" xfId="0" applyNumberFormat="1" applyFont="1" applyBorder="1" applyAlignment="1" applyProtection="1">
      <alignment horizontal="center" vertical="center" wrapText="1"/>
      <protection locked="0"/>
    </xf>
    <xf numFmtId="49" fontId="13" fillId="0" borderId="30" xfId="0" applyNumberFormat="1" applyFont="1" applyBorder="1" applyAlignment="1" applyProtection="1">
      <alignment horizontal="center" vertical="center" wrapText="1"/>
      <protection locked="0"/>
    </xf>
    <xf numFmtId="49" fontId="5" fillId="0" borderId="16" xfId="0" applyNumberFormat="1" applyFont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>
      <alignment horizontal="center" vertical="center"/>
    </xf>
    <xf numFmtId="49" fontId="4" fillId="0" borderId="23" xfId="0" applyNumberFormat="1" applyFont="1" applyBorder="1" applyAlignment="1">
      <alignment horizontal="right"/>
    </xf>
    <xf numFmtId="49" fontId="4" fillId="0" borderId="17" xfId="0" applyNumberFormat="1" applyFont="1" applyBorder="1" applyAlignment="1">
      <alignment horizontal="right"/>
    </xf>
    <xf numFmtId="17" fontId="1" fillId="3" borderId="17" xfId="0" applyNumberFormat="1" applyFont="1" applyFill="1" applyBorder="1" applyAlignment="1" applyProtection="1">
      <alignment vertical="center"/>
      <protection locked="0"/>
    </xf>
    <xf numFmtId="17" fontId="7" fillId="3" borderId="17" xfId="0" applyNumberFormat="1" applyFont="1" applyFill="1" applyBorder="1" applyAlignment="1" applyProtection="1">
      <alignment horizontal="center" vertical="center"/>
      <protection locked="0"/>
    </xf>
    <xf numFmtId="164" fontId="11" fillId="0" borderId="34" xfId="0" applyNumberFormat="1" applyFont="1" applyBorder="1" applyAlignment="1">
      <alignment horizontal="center" vertical="center"/>
    </xf>
    <xf numFmtId="164" fontId="11" fillId="0" borderId="31" xfId="0" applyNumberFormat="1" applyFont="1" applyBorder="1" applyAlignment="1">
      <alignment horizontal="center" vertical="center"/>
    </xf>
    <xf numFmtId="164" fontId="11" fillId="0" borderId="45" xfId="0" applyNumberFormat="1" applyFont="1" applyBorder="1" applyAlignment="1">
      <alignment horizontal="center" vertical="center"/>
    </xf>
    <xf numFmtId="164" fontId="11" fillId="0" borderId="46" xfId="0" applyNumberFormat="1" applyFont="1" applyBorder="1" applyAlignment="1">
      <alignment horizontal="center" vertical="center"/>
    </xf>
    <xf numFmtId="164" fontId="11" fillId="0" borderId="47" xfId="0" applyNumberFormat="1" applyFont="1" applyBorder="1" applyAlignment="1">
      <alignment horizontal="center" vertical="center"/>
    </xf>
    <xf numFmtId="164" fontId="11" fillId="0" borderId="55" xfId="0" applyNumberFormat="1" applyFont="1" applyBorder="1" applyAlignment="1">
      <alignment horizontal="center" vertical="center"/>
    </xf>
    <xf numFmtId="164" fontId="11" fillId="0" borderId="32" xfId="0" applyNumberFormat="1" applyFont="1" applyBorder="1" applyAlignment="1">
      <alignment horizontal="center" vertical="center"/>
    </xf>
    <xf numFmtId="17" fontId="2" fillId="3" borderId="17" xfId="0" applyNumberFormat="1" applyFont="1" applyFill="1" applyBorder="1" applyAlignment="1" applyProtection="1">
      <alignment horizontal="center" vertical="center" wrapText="1"/>
      <protection locked="0"/>
    </xf>
    <xf numFmtId="49" fontId="13" fillId="0" borderId="8" xfId="0" applyNumberFormat="1" applyFont="1" applyBorder="1" applyAlignment="1" applyProtection="1">
      <alignment horizontal="center" vertical="center" wrapText="1"/>
      <protection locked="0"/>
    </xf>
    <xf numFmtId="49" fontId="13" fillId="0" borderId="1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49" fontId="13" fillId="0" borderId="29" xfId="0" applyNumberFormat="1" applyFont="1" applyBorder="1" applyAlignment="1" applyProtection="1">
      <alignment horizontal="center" vertical="center" wrapText="1"/>
      <protection locked="0"/>
    </xf>
    <xf numFmtId="49" fontId="5" fillId="0" borderId="18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0" borderId="19" xfId="0" applyNumberFormat="1" applyFont="1" applyBorder="1" applyAlignment="1" applyProtection="1">
      <alignment horizontal="center" vertical="center" wrapText="1"/>
      <protection locked="0"/>
    </xf>
    <xf numFmtId="49" fontId="5" fillId="0" borderId="11" xfId="0" applyNumberFormat="1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13" fillId="0" borderId="14" xfId="0" applyNumberFormat="1" applyFont="1" applyBorder="1" applyAlignment="1" applyProtection="1">
      <alignment horizontal="center" vertical="center" wrapText="1"/>
      <protection locked="0"/>
    </xf>
    <xf numFmtId="49" fontId="13" fillId="0" borderId="2" xfId="0" applyNumberFormat="1" applyFont="1" applyBorder="1" applyAlignment="1" applyProtection="1">
      <alignment horizontal="center" vertical="center" wrapText="1"/>
      <protection locked="0"/>
    </xf>
    <xf numFmtId="49" fontId="13" fillId="0" borderId="3" xfId="0" applyNumberFormat="1" applyFont="1" applyBorder="1" applyAlignment="1" applyProtection="1">
      <alignment horizontal="center" vertical="center" wrapText="1"/>
      <protection locked="0"/>
    </xf>
    <xf numFmtId="49" fontId="13" fillId="0" borderId="9" xfId="0" applyNumberFormat="1" applyFont="1" applyBorder="1" applyAlignment="1" applyProtection="1">
      <alignment horizontal="center" vertical="center" wrapText="1"/>
      <protection locked="0"/>
    </xf>
    <xf numFmtId="49" fontId="13" fillId="0" borderId="22" xfId="0" applyNumberFormat="1" applyFont="1" applyBorder="1" applyAlignment="1" applyProtection="1">
      <alignment horizontal="center" vertical="center" wrapText="1"/>
      <protection locked="0"/>
    </xf>
    <xf numFmtId="49" fontId="13" fillId="0" borderId="15" xfId="0" applyNumberFormat="1" applyFont="1" applyBorder="1" applyAlignment="1" applyProtection="1">
      <alignment horizontal="center" vertical="center" wrapText="1"/>
      <protection locked="0"/>
    </xf>
    <xf numFmtId="49" fontId="5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20" xfId="0" applyNumberFormat="1" applyFont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Border="1" applyAlignment="1" applyProtection="1">
      <alignment horizontal="center" vertical="center" wrapText="1"/>
      <protection locked="0"/>
    </xf>
    <xf numFmtId="49" fontId="5" fillId="0" borderId="30" xfId="0" applyNumberFormat="1" applyFont="1" applyBorder="1" applyAlignment="1" applyProtection="1">
      <alignment horizontal="center" vertical="center" wrapText="1"/>
      <protection locked="0"/>
    </xf>
    <xf numFmtId="49" fontId="13" fillId="0" borderId="0" xfId="0" applyNumberFormat="1" applyFont="1" applyAlignment="1" applyProtection="1">
      <alignment horizontal="center" vertical="center" wrapText="1"/>
      <protection locked="0"/>
    </xf>
    <xf numFmtId="49" fontId="13" fillId="0" borderId="24" xfId="0" applyNumberFormat="1" applyFont="1" applyBorder="1" applyAlignment="1" applyProtection="1">
      <alignment horizontal="center" vertical="center" wrapText="1"/>
      <protection locked="0"/>
    </xf>
    <xf numFmtId="49" fontId="13" fillId="0" borderId="2" xfId="0" applyNumberFormat="1" applyFont="1" applyBorder="1" applyAlignment="1">
      <alignment horizontal="center" vertical="center" wrapText="1"/>
    </xf>
    <xf numFmtId="49" fontId="13" fillId="0" borderId="9" xfId="0" applyNumberFormat="1" applyFont="1" applyBorder="1" applyAlignment="1">
      <alignment horizontal="center" vertical="center" wrapText="1"/>
    </xf>
    <xf numFmtId="49" fontId="13" fillId="0" borderId="21" xfId="0" applyNumberFormat="1" applyFont="1" applyBorder="1" applyAlignment="1" applyProtection="1">
      <alignment horizontal="center" vertical="center" wrapText="1"/>
      <protection locked="0"/>
    </xf>
    <xf numFmtId="49" fontId="13" fillId="0" borderId="3" xfId="0" applyNumberFormat="1" applyFont="1" applyBorder="1" applyAlignment="1">
      <alignment horizontal="center" vertical="center" wrapText="1"/>
    </xf>
    <xf numFmtId="49" fontId="5" fillId="0" borderId="7" xfId="0" applyNumberFormat="1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13" fillId="0" borderId="22" xfId="0" applyNumberFormat="1" applyFont="1" applyBorder="1" applyAlignment="1">
      <alignment horizontal="center" vertical="center" wrapText="1"/>
    </xf>
    <xf numFmtId="49" fontId="5" fillId="0" borderId="37" xfId="0" applyNumberFormat="1" applyFont="1" applyBorder="1" applyAlignment="1" applyProtection="1">
      <alignment horizontal="center" vertical="center" wrapText="1"/>
      <protection locked="0"/>
    </xf>
    <xf numFmtId="49" fontId="5" fillId="0" borderId="8" xfId="0" applyNumberFormat="1" applyFont="1" applyBorder="1" applyAlignment="1" applyProtection="1">
      <alignment horizontal="center" vertical="center" wrapText="1"/>
      <protection locked="0"/>
    </xf>
    <xf numFmtId="49" fontId="5" fillId="0" borderId="11" xfId="0" applyNumberFormat="1" applyFont="1" applyBorder="1" applyAlignment="1">
      <alignment horizontal="center" vertical="center" wrapText="1"/>
    </xf>
    <xf numFmtId="49" fontId="5" fillId="0" borderId="12" xfId="0" applyNumberFormat="1" applyFont="1" applyBorder="1" applyAlignment="1">
      <alignment horizontal="center" vertical="center" wrapText="1"/>
    </xf>
    <xf numFmtId="49" fontId="5" fillId="0" borderId="29" xfId="0" applyNumberFormat="1" applyFont="1" applyBorder="1" applyAlignment="1" applyProtection="1">
      <alignment horizontal="center" vertical="center" wrapText="1"/>
      <protection locked="0"/>
    </xf>
    <xf numFmtId="49" fontId="13" fillId="0" borderId="15" xfId="0" applyNumberFormat="1" applyFont="1" applyBorder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59" xfId="0" applyFont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3" borderId="60" xfId="0" applyFont="1" applyFill="1" applyBorder="1" applyAlignment="1">
      <alignment horizontal="center" vertical="center"/>
    </xf>
    <xf numFmtId="0" fontId="5" fillId="3" borderId="61" xfId="0" applyFont="1" applyFill="1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17" fontId="2" fillId="3" borderId="17" xfId="0" applyNumberFormat="1" applyFont="1" applyFill="1" applyBorder="1" applyAlignment="1" applyProtection="1">
      <alignment horizontal="center" vertical="center"/>
      <protection locked="0"/>
    </xf>
    <xf numFmtId="164" fontId="11" fillId="5" borderId="46" xfId="0" applyNumberFormat="1" applyFont="1" applyFill="1" applyBorder="1" applyAlignment="1">
      <alignment horizontal="center" vertical="center"/>
    </xf>
    <xf numFmtId="49" fontId="1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13" fillId="5" borderId="2" xfId="0" applyNumberFormat="1" applyFont="1" applyFill="1" applyBorder="1" applyAlignment="1" applyProtection="1">
      <alignment horizontal="center" vertical="center" wrapText="1"/>
      <protection locked="0"/>
    </xf>
    <xf numFmtId="49" fontId="13" fillId="5" borderId="13" xfId="0" applyNumberFormat="1" applyFont="1" applyFill="1" applyBorder="1" applyAlignment="1" applyProtection="1">
      <alignment horizontal="center" vertical="center" wrapText="1"/>
      <protection locked="0"/>
    </xf>
    <xf numFmtId="49" fontId="15" fillId="0" borderId="7" xfId="0" applyNumberFormat="1" applyFont="1" applyBorder="1" applyAlignment="1" applyProtection="1">
      <alignment horizontal="center" vertical="center" wrapText="1"/>
      <protection locked="0"/>
    </xf>
    <xf numFmtId="49" fontId="15" fillId="0" borderId="1" xfId="0" applyNumberFormat="1" applyFont="1" applyBorder="1" applyAlignment="1" applyProtection="1">
      <alignment horizontal="center" vertical="center" wrapText="1"/>
      <protection locked="0"/>
    </xf>
    <xf numFmtId="49" fontId="13" fillId="5" borderId="2" xfId="0" applyNumberFormat="1" applyFont="1" applyFill="1" applyBorder="1" applyAlignment="1">
      <alignment horizontal="center" vertical="center" wrapText="1"/>
    </xf>
    <xf numFmtId="17" fontId="2" fillId="3" borderId="17" xfId="0" applyNumberFormat="1" applyFont="1" applyFill="1" applyBorder="1" applyAlignment="1" applyProtection="1">
      <alignment vertical="center"/>
      <protection locked="0"/>
    </xf>
    <xf numFmtId="0" fontId="5" fillId="0" borderId="36" xfId="0" applyFont="1" applyBorder="1" applyAlignment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 wrapText="1"/>
      <protection locked="0"/>
    </xf>
    <xf numFmtId="49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38" xfId="0" applyFont="1" applyBorder="1" applyAlignment="1" applyProtection="1">
      <alignment vertical="center" wrapText="1"/>
      <protection locked="0"/>
    </xf>
    <xf numFmtId="0" fontId="2" fillId="0" borderId="39" xfId="0" applyFont="1" applyBorder="1" applyAlignment="1" applyProtection="1">
      <alignment vertical="center" wrapText="1"/>
      <protection locked="0"/>
    </xf>
    <xf numFmtId="49" fontId="5" fillId="5" borderId="7" xfId="0" applyNumberFormat="1" applyFont="1" applyFill="1" applyBorder="1" applyAlignment="1" applyProtection="1">
      <alignment horizontal="center" vertical="center" wrapText="1"/>
      <protection locked="0"/>
    </xf>
    <xf numFmtId="49" fontId="5" fillId="5" borderId="13" xfId="0" applyNumberFormat="1" applyFont="1" applyFill="1" applyBorder="1" applyAlignment="1" applyProtection="1">
      <alignment horizontal="center" vertical="center" wrapText="1"/>
      <protection locked="0"/>
    </xf>
    <xf numFmtId="49" fontId="5" fillId="5" borderId="7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5" borderId="24" xfId="0" applyFont="1" applyFill="1" applyBorder="1" applyAlignment="1">
      <alignment horizontal="center" vertical="center"/>
    </xf>
    <xf numFmtId="49" fontId="13" fillId="0" borderId="65" xfId="0" applyNumberFormat="1" applyFont="1" applyBorder="1" applyAlignment="1" applyProtection="1">
      <alignment horizontal="center" vertical="center" wrapText="1"/>
      <protection locked="0"/>
    </xf>
    <xf numFmtId="0" fontId="6" fillId="0" borderId="23" xfId="0" applyFont="1" applyBorder="1" applyAlignment="1">
      <alignment vertical="top" wrapText="1"/>
    </xf>
    <xf numFmtId="164" fontId="11" fillId="6" borderId="46" xfId="0" applyNumberFormat="1" applyFont="1" applyFill="1" applyBorder="1" applyAlignment="1">
      <alignment horizontal="center" vertical="center"/>
    </xf>
    <xf numFmtId="49" fontId="1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13" fillId="6" borderId="2" xfId="0" applyNumberFormat="1" applyFont="1" applyFill="1" applyBorder="1" applyAlignment="1" applyProtection="1">
      <alignment horizontal="center" vertical="center" wrapText="1"/>
      <protection locked="0"/>
    </xf>
    <xf numFmtId="49" fontId="13" fillId="6" borderId="11" xfId="0" applyNumberFormat="1" applyFont="1" applyFill="1" applyBorder="1" applyAlignment="1" applyProtection="1">
      <alignment horizontal="center" vertical="center" wrapText="1"/>
      <protection locked="0"/>
    </xf>
    <xf numFmtId="49" fontId="13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3" fillId="6" borderId="13" xfId="0" applyNumberFormat="1" applyFont="1" applyFill="1" applyBorder="1" applyAlignment="1" applyProtection="1">
      <alignment horizontal="center" vertical="center" wrapText="1"/>
      <protection locked="0"/>
    </xf>
    <xf numFmtId="49" fontId="5" fillId="6" borderId="11" xfId="0" applyNumberFormat="1" applyFont="1" applyFill="1" applyBorder="1" applyAlignment="1">
      <alignment horizontal="center" vertical="center" wrapText="1"/>
    </xf>
    <xf numFmtId="0" fontId="5" fillId="6" borderId="61" xfId="0" applyFont="1" applyFill="1" applyBorder="1" applyAlignment="1">
      <alignment horizontal="center" vertical="center"/>
    </xf>
    <xf numFmtId="49" fontId="5" fillId="6" borderId="7" xfId="0" applyNumberFormat="1" applyFont="1" applyFill="1" applyBorder="1" applyAlignment="1" applyProtection="1">
      <alignment horizontal="center" vertical="center" wrapText="1"/>
      <protection locked="0"/>
    </xf>
    <xf numFmtId="49" fontId="13" fillId="6" borderId="3" xfId="0" applyNumberFormat="1" applyFont="1" applyFill="1" applyBorder="1" applyAlignment="1">
      <alignment horizontal="center" vertical="center" wrapText="1"/>
    </xf>
    <xf numFmtId="49" fontId="5" fillId="6" borderId="7" xfId="0" applyNumberFormat="1" applyFont="1" applyFill="1" applyBorder="1" applyAlignment="1">
      <alignment horizontal="center" vertical="center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6" borderId="13" xfId="0" applyNumberFormat="1" applyFont="1" applyFill="1" applyBorder="1" applyAlignment="1" applyProtection="1">
      <alignment horizontal="center" vertical="center" wrapText="1"/>
      <protection locked="0"/>
    </xf>
    <xf numFmtId="49" fontId="13" fillId="6" borderId="2" xfId="0" applyNumberFormat="1" applyFont="1" applyFill="1" applyBorder="1" applyAlignment="1">
      <alignment horizontal="center" vertical="center" wrapText="1"/>
    </xf>
    <xf numFmtId="0" fontId="5" fillId="2" borderId="60" xfId="0" applyFont="1" applyFill="1" applyBorder="1" applyAlignment="1">
      <alignment horizontal="center" vertical="center"/>
    </xf>
    <xf numFmtId="0" fontId="5" fillId="2" borderId="61" xfId="0" applyFont="1" applyFill="1" applyBorder="1" applyAlignment="1">
      <alignment horizontal="center" vertical="center"/>
    </xf>
    <xf numFmtId="164" fontId="11" fillId="2" borderId="46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7" fillId="0" borderId="66" xfId="0" applyFont="1" applyBorder="1" applyAlignment="1" applyProtection="1">
      <alignment horizontal="center" vertical="center"/>
      <protection locked="0"/>
    </xf>
    <xf numFmtId="164" fontId="11" fillId="6" borderId="32" xfId="0" applyNumberFormat="1" applyFont="1" applyFill="1" applyBorder="1" applyAlignment="1">
      <alignment horizontal="center" vertical="center"/>
    </xf>
    <xf numFmtId="49" fontId="13" fillId="0" borderId="67" xfId="0" applyNumberFormat="1" applyFont="1" applyBorder="1" applyAlignment="1">
      <alignment horizontal="center" vertical="center" wrapText="1"/>
    </xf>
    <xf numFmtId="49" fontId="5" fillId="0" borderId="68" xfId="0" applyNumberFormat="1" applyFont="1" applyBorder="1" applyAlignment="1" applyProtection="1">
      <alignment horizontal="center" vertical="center" wrapText="1"/>
      <protection locked="0"/>
    </xf>
    <xf numFmtId="49" fontId="5" fillId="0" borderId="69" xfId="0" applyNumberFormat="1" applyFont="1" applyBorder="1" applyAlignment="1" applyProtection="1">
      <alignment horizontal="center" vertical="center" wrapText="1"/>
      <protection locked="0"/>
    </xf>
    <xf numFmtId="49" fontId="13" fillId="0" borderId="67" xfId="0" applyNumberFormat="1" applyFont="1" applyBorder="1" applyAlignment="1" applyProtection="1">
      <alignment horizontal="center" vertical="center" wrapText="1"/>
      <protection locked="0"/>
    </xf>
    <xf numFmtId="0" fontId="2" fillId="3" borderId="70" xfId="0" applyFont="1" applyFill="1" applyBorder="1" applyAlignment="1" applyProtection="1">
      <alignment vertical="center" wrapText="1"/>
      <protection locked="0"/>
    </xf>
    <xf numFmtId="17" fontId="16" fillId="0" borderId="17" xfId="0" applyNumberFormat="1" applyFont="1" applyBorder="1" applyAlignment="1" applyProtection="1">
      <alignment horizontal="center" vertical="center"/>
      <protection locked="0"/>
    </xf>
    <xf numFmtId="49" fontId="19" fillId="0" borderId="11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49" fontId="17" fillId="0" borderId="1" xfId="0" applyNumberFormat="1" applyFont="1" applyBorder="1" applyAlignment="1" applyProtection="1">
      <alignment horizontal="center" vertical="center" wrapText="1"/>
      <protection locked="0"/>
    </xf>
    <xf numFmtId="17" fontId="2" fillId="0" borderId="17" xfId="0" applyNumberFormat="1" applyFont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3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59" xfId="0" applyFont="1" applyFill="1" applyBorder="1" applyAlignment="1">
      <alignment horizontal="center" vertical="center"/>
    </xf>
    <xf numFmtId="0" fontId="5" fillId="2" borderId="6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64" xfId="0" applyFont="1" applyFill="1" applyBorder="1" applyAlignment="1">
      <alignment horizontal="center" vertical="center"/>
    </xf>
    <xf numFmtId="164" fontId="11" fillId="2" borderId="34" xfId="0" applyNumberFormat="1" applyFont="1" applyFill="1" applyBorder="1" applyAlignment="1">
      <alignment horizontal="center" vertical="center"/>
    </xf>
    <xf numFmtId="164" fontId="11" fillId="2" borderId="32" xfId="0" applyNumberFormat="1" applyFont="1" applyFill="1" applyBorder="1" applyAlignment="1">
      <alignment horizontal="center" vertical="center"/>
    </xf>
    <xf numFmtId="164" fontId="11" fillId="2" borderId="31" xfId="0" applyNumberFormat="1" applyFont="1" applyFill="1" applyBorder="1" applyAlignment="1">
      <alignment horizontal="center" vertical="center"/>
    </xf>
    <xf numFmtId="164" fontId="11" fillId="2" borderId="45" xfId="0" applyNumberFormat="1" applyFont="1" applyFill="1" applyBorder="1" applyAlignment="1">
      <alignment horizontal="center" vertical="center"/>
    </xf>
    <xf numFmtId="164" fontId="11" fillId="2" borderId="55" xfId="0" applyNumberFormat="1" applyFont="1" applyFill="1" applyBorder="1" applyAlignment="1">
      <alignment horizontal="center" vertical="center"/>
    </xf>
    <xf numFmtId="164" fontId="11" fillId="2" borderId="47" xfId="0" applyNumberFormat="1" applyFont="1" applyFill="1" applyBorder="1" applyAlignment="1">
      <alignment horizontal="center" vertical="center"/>
    </xf>
    <xf numFmtId="49" fontId="15" fillId="0" borderId="25" xfId="0" applyNumberFormat="1" applyFont="1" applyBorder="1" applyAlignment="1" applyProtection="1">
      <alignment horizontal="center" vertical="center" wrapText="1"/>
      <protection locked="0"/>
    </xf>
    <xf numFmtId="49" fontId="18" fillId="3" borderId="1" xfId="0" applyNumberFormat="1" applyFont="1" applyFill="1" applyBorder="1" applyAlignment="1">
      <alignment horizontal="center" vertical="center" wrapText="1"/>
    </xf>
    <xf numFmtId="0" fontId="1" fillId="3" borderId="38" xfId="0" applyFont="1" applyFill="1" applyBorder="1" applyAlignment="1" applyProtection="1">
      <alignment vertical="center" wrapText="1"/>
      <protection locked="0"/>
    </xf>
    <xf numFmtId="0" fontId="1" fillId="3" borderId="39" xfId="0" applyFont="1" applyFill="1" applyBorder="1" applyAlignment="1" applyProtection="1">
      <alignment vertical="center" wrapText="1"/>
      <protection locked="0"/>
    </xf>
    <xf numFmtId="0" fontId="1" fillId="0" borderId="44" xfId="0" applyFont="1" applyBorder="1" applyAlignment="1" applyProtection="1">
      <alignment horizontal="left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3" xfId="0" applyNumberFormat="1" applyFont="1" applyFill="1" applyBorder="1" applyAlignment="1" applyProtection="1">
      <alignment horizontal="center" vertical="center" wrapText="1"/>
      <protection locked="0"/>
    </xf>
    <xf numFmtId="49" fontId="13" fillId="2" borderId="22" xfId="0" applyNumberFormat="1" applyFont="1" applyFill="1" applyBorder="1" applyAlignment="1" applyProtection="1">
      <alignment horizontal="center" vertical="center" wrapText="1"/>
      <protection locked="0"/>
    </xf>
    <xf numFmtId="49" fontId="13" fillId="2" borderId="14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8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29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7" xfId="0" applyNumberFormat="1" applyFont="1" applyFill="1" applyBorder="1" applyAlignment="1">
      <alignment horizontal="center" vertical="center" wrapText="1"/>
    </xf>
    <xf numFmtId="49" fontId="5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44" xfId="0" applyFont="1" applyFill="1" applyBorder="1" applyAlignment="1" applyProtection="1">
      <alignment horizontal="left" vertical="center" wrapText="1"/>
      <protection locked="0"/>
    </xf>
    <xf numFmtId="0" fontId="2" fillId="2" borderId="38" xfId="0" applyFont="1" applyFill="1" applyBorder="1" applyAlignment="1" applyProtection="1">
      <alignment vertical="center" wrapText="1"/>
      <protection locked="0"/>
    </xf>
    <xf numFmtId="17" fontId="1" fillId="0" borderId="17" xfId="0" applyNumberFormat="1" applyFont="1" applyBorder="1" applyAlignment="1" applyProtection="1">
      <alignment horizontal="center" vertical="center"/>
      <protection locked="0"/>
    </xf>
    <xf numFmtId="0" fontId="5" fillId="2" borderId="6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38" xfId="0" applyFont="1" applyBorder="1" applyAlignment="1" applyProtection="1">
      <alignment horizontal="left" vertical="center" wrapText="1"/>
      <protection locked="0"/>
    </xf>
    <xf numFmtId="49" fontId="5" fillId="0" borderId="28" xfId="0" applyNumberFormat="1" applyFont="1" applyBorder="1" applyAlignment="1" applyProtection="1">
      <alignment horizontal="center" vertical="center" wrapText="1"/>
      <protection locked="0"/>
    </xf>
    <xf numFmtId="49" fontId="5" fillId="0" borderId="25" xfId="0" applyNumberFormat="1" applyFont="1" applyBorder="1" applyAlignment="1" applyProtection="1">
      <alignment horizontal="center" vertical="center" wrapText="1"/>
      <protection locked="0"/>
    </xf>
    <xf numFmtId="49" fontId="5" fillId="0" borderId="10" xfId="0" applyNumberFormat="1" applyFont="1" applyBorder="1" applyAlignment="1" applyProtection="1">
      <alignment horizontal="center" vertical="center" wrapText="1"/>
      <protection locked="0"/>
    </xf>
    <xf numFmtId="49" fontId="5" fillId="0" borderId="25" xfId="0" applyNumberFormat="1" applyFont="1" applyBorder="1" applyAlignment="1">
      <alignment horizontal="center" vertical="center" wrapText="1"/>
    </xf>
    <xf numFmtId="49" fontId="5" fillId="0" borderId="10" xfId="0" applyNumberFormat="1" applyFont="1" applyBorder="1" applyAlignment="1">
      <alignment horizontal="center" vertical="center" wrapText="1"/>
    </xf>
    <xf numFmtId="0" fontId="2" fillId="2" borderId="38" xfId="0" applyFont="1" applyFill="1" applyBorder="1" applyAlignment="1" applyProtection="1">
      <alignment horizontal="left" vertical="center" wrapText="1"/>
      <protection locked="0"/>
    </xf>
    <xf numFmtId="0" fontId="1" fillId="0" borderId="38" xfId="0" applyFont="1" applyBorder="1" applyAlignment="1" applyProtection="1">
      <alignment horizontal="left" vertical="center" wrapText="1"/>
      <protection locked="0"/>
    </xf>
    <xf numFmtId="0" fontId="2" fillId="2" borderId="39" xfId="0" applyFont="1" applyFill="1" applyBorder="1" applyAlignment="1" applyProtection="1">
      <alignment vertical="center" wrapText="1"/>
      <protection locked="0"/>
    </xf>
    <xf numFmtId="0" fontId="2" fillId="0" borderId="71" xfId="0" applyFont="1" applyBorder="1" applyAlignment="1" applyProtection="1">
      <alignment vertical="center" wrapText="1"/>
      <protection locked="0"/>
    </xf>
    <xf numFmtId="49" fontId="18" fillId="0" borderId="25" xfId="0" applyNumberFormat="1" applyFont="1" applyBorder="1" applyAlignment="1" applyProtection="1">
      <alignment horizontal="center" vertical="center" wrapText="1"/>
      <protection locked="0"/>
    </xf>
    <xf numFmtId="0" fontId="6" fillId="4" borderId="48" xfId="0" applyFont="1" applyFill="1" applyBorder="1" applyAlignment="1">
      <alignment horizontal="center" vertical="center"/>
    </xf>
    <xf numFmtId="0" fontId="8" fillId="4" borderId="48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49" fontId="4" fillId="4" borderId="24" xfId="0" applyNumberFormat="1" applyFont="1" applyFill="1" applyBorder="1" applyAlignment="1">
      <alignment horizontal="center" vertical="center"/>
    </xf>
    <xf numFmtId="49" fontId="4" fillId="4" borderId="32" xfId="0" applyNumberFormat="1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right" vertical="top" wrapText="1"/>
    </xf>
    <xf numFmtId="0" fontId="4" fillId="0" borderId="0" xfId="0" applyFont="1" applyAlignment="1">
      <alignment horizontal="right" vertical="top" wrapText="1"/>
    </xf>
    <xf numFmtId="0" fontId="8" fillId="0" borderId="18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38" xfId="0" applyFont="1" applyBorder="1" applyAlignment="1" applyProtection="1">
      <alignment horizontal="left" vertical="center" wrapText="1"/>
      <protection locked="0"/>
    </xf>
    <xf numFmtId="0" fontId="2" fillId="0" borderId="42" xfId="0" applyFont="1" applyBorder="1" applyAlignment="1" applyProtection="1">
      <alignment horizontal="left" vertical="center" wrapText="1"/>
      <protection locked="0"/>
    </xf>
    <xf numFmtId="0" fontId="3" fillId="0" borderId="4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49" fontId="4" fillId="0" borderId="24" xfId="0" applyNumberFormat="1" applyFont="1" applyBorder="1" applyAlignment="1">
      <alignment horizontal="center" vertical="center"/>
    </xf>
    <xf numFmtId="49" fontId="4" fillId="0" borderId="32" xfId="0" applyNumberFormat="1" applyFont="1" applyBorder="1" applyAlignment="1">
      <alignment horizontal="center" vertical="center"/>
    </xf>
    <xf numFmtId="0" fontId="2" fillId="0" borderId="40" xfId="0" applyFont="1" applyBorder="1" applyAlignment="1" applyProtection="1">
      <alignment horizontal="left" vertical="center" wrapText="1"/>
      <protection locked="0"/>
    </xf>
    <xf numFmtId="0" fontId="14" fillId="0" borderId="56" xfId="0" applyFont="1" applyBorder="1" applyAlignment="1">
      <alignment horizontal="center" vertical="center"/>
    </xf>
    <xf numFmtId="0" fontId="14" fillId="0" borderId="49" xfId="0" applyFont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7" fillId="0" borderId="43" xfId="0" applyFont="1" applyBorder="1" applyAlignment="1" applyProtection="1">
      <alignment horizontal="center" vertical="center"/>
      <protection locked="0"/>
    </xf>
    <xf numFmtId="0" fontId="7" fillId="0" borderId="41" xfId="0" applyFont="1" applyBorder="1" applyAlignment="1" applyProtection="1">
      <alignment horizontal="center" vertical="center"/>
      <protection locked="0"/>
    </xf>
    <xf numFmtId="49" fontId="4" fillId="0" borderId="59" xfId="0" applyNumberFormat="1" applyFont="1" applyBorder="1" applyAlignment="1">
      <alignment horizontal="center" vertical="center"/>
    </xf>
    <xf numFmtId="49" fontId="4" fillId="0" borderId="31" xfId="0" applyNumberFormat="1" applyFont="1" applyBorder="1" applyAlignment="1">
      <alignment horizontal="center" vertical="center"/>
    </xf>
    <xf numFmtId="0" fontId="6" fillId="0" borderId="23" xfId="0" applyFont="1" applyBorder="1" applyAlignment="1">
      <alignment horizontal="left" vertical="top" wrapText="1"/>
    </xf>
    <xf numFmtId="0" fontId="6" fillId="2" borderId="50" xfId="0" applyFont="1" applyFill="1" applyBorder="1" applyAlignment="1">
      <alignment horizontal="center" vertical="center"/>
    </xf>
    <xf numFmtId="0" fontId="6" fillId="2" borderId="53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49" fontId="9" fillId="2" borderId="54" xfId="0" applyNumberFormat="1" applyFont="1" applyFill="1" applyBorder="1" applyAlignment="1">
      <alignment horizontal="center" vertical="center"/>
    </xf>
    <xf numFmtId="49" fontId="9" fillId="2" borderId="33" xfId="0" applyNumberFormat="1" applyFont="1" applyFill="1" applyBorder="1" applyAlignment="1">
      <alignment horizontal="center" vertical="center"/>
    </xf>
    <xf numFmtId="0" fontId="4" fillId="2" borderId="58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2" fillId="2" borderId="38" xfId="0" applyFont="1" applyFill="1" applyBorder="1" applyAlignment="1" applyProtection="1">
      <alignment horizontal="left" vertical="center" wrapText="1"/>
      <protection locked="0"/>
    </xf>
    <xf numFmtId="0" fontId="2" fillId="2" borderId="42" xfId="0" applyFont="1" applyFill="1" applyBorder="1" applyAlignment="1" applyProtection="1">
      <alignment horizontal="left" vertical="center" wrapText="1"/>
      <protection locked="0"/>
    </xf>
    <xf numFmtId="0" fontId="2" fillId="2" borderId="43" xfId="0" applyFont="1" applyFill="1" applyBorder="1" applyAlignment="1" applyProtection="1">
      <alignment horizontal="left" vertical="center" wrapText="1"/>
      <protection locked="0"/>
    </xf>
    <xf numFmtId="49" fontId="9" fillId="2" borderId="54" xfId="0" applyNumberFormat="1" applyFont="1" applyFill="1" applyBorder="1" applyAlignment="1">
      <alignment horizontal="center" vertical="center" wrapText="1"/>
    </xf>
    <xf numFmtId="49" fontId="9" fillId="2" borderId="33" xfId="0" applyNumberFormat="1" applyFont="1" applyFill="1" applyBorder="1" applyAlignment="1">
      <alignment horizontal="center" vertical="center" wrapText="1"/>
    </xf>
    <xf numFmtId="0" fontId="6" fillId="2" borderId="58" xfId="0" applyFont="1" applyFill="1" applyBorder="1" applyAlignment="1">
      <alignment horizontal="center" vertical="center"/>
    </xf>
    <xf numFmtId="0" fontId="20" fillId="2" borderId="50" xfId="0" applyFont="1" applyFill="1" applyBorder="1" applyAlignment="1">
      <alignment horizontal="center" vertical="center"/>
    </xf>
    <xf numFmtId="0" fontId="20" fillId="2" borderId="53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20" fillId="2" borderId="19" xfId="0" applyFont="1" applyFill="1" applyBorder="1" applyAlignment="1">
      <alignment horizontal="center" vertical="center"/>
    </xf>
    <xf numFmtId="0" fontId="20" fillId="2" borderId="22" xfId="0" applyFont="1" applyFill="1" applyBorder="1" applyAlignment="1">
      <alignment horizontal="center" vertical="center"/>
    </xf>
    <xf numFmtId="0" fontId="20" fillId="2" borderId="30" xfId="0" applyFont="1" applyFill="1" applyBorder="1" applyAlignment="1">
      <alignment horizontal="center" vertical="center"/>
    </xf>
    <xf numFmtId="0" fontId="20" fillId="2" borderId="58" xfId="0" applyFont="1" applyFill="1" applyBorder="1" applyAlignment="1">
      <alignment horizontal="center" vertical="center"/>
    </xf>
    <xf numFmtId="0" fontId="1" fillId="0" borderId="38" xfId="0" applyFont="1" applyBorder="1" applyAlignment="1" applyProtection="1">
      <alignment horizontal="left" vertical="center" wrapText="1"/>
      <protection locked="0"/>
    </xf>
    <xf numFmtId="0" fontId="1" fillId="0" borderId="42" xfId="0" applyFont="1" applyBorder="1" applyAlignment="1" applyProtection="1">
      <alignment horizontal="left" vertical="center" wrapText="1"/>
      <protection locked="0"/>
    </xf>
    <xf numFmtId="0" fontId="1" fillId="0" borderId="43" xfId="0" applyFont="1" applyBorder="1" applyAlignment="1" applyProtection="1">
      <alignment horizontal="left" vertical="center" wrapText="1"/>
      <protection locked="0"/>
    </xf>
    <xf numFmtId="0" fontId="1" fillId="0" borderId="40" xfId="0" applyFont="1" applyBorder="1" applyAlignment="1" applyProtection="1">
      <alignment horizontal="left" vertical="center" wrapText="1"/>
      <protection locked="0"/>
    </xf>
    <xf numFmtId="0" fontId="2" fillId="0" borderId="40" xfId="0" applyFont="1" applyBorder="1" applyAlignment="1" applyProtection="1">
      <alignment vertical="center" wrapText="1"/>
      <protection locked="0"/>
    </xf>
    <xf numFmtId="0" fontId="2" fillId="0" borderId="43" xfId="0" applyFont="1" applyBorder="1" applyAlignment="1" applyProtection="1">
      <alignment vertical="center" wrapText="1"/>
      <protection locked="0"/>
    </xf>
    <xf numFmtId="49" fontId="13" fillId="0" borderId="0" xfId="0" applyNumberFormat="1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 vertical="center"/>
    </xf>
  </cellXfs>
  <cellStyles count="1">
    <cellStyle name="Normal" xfId="0" builtinId="0"/>
  </cellStyles>
  <dxfs count="58">
    <dxf>
      <fill>
        <patternFill>
          <bgColor theme="4" tint="0.59996337778862885"/>
        </patternFill>
      </fill>
    </dxf>
    <dxf>
      <fill>
        <patternFill>
          <bgColor rgb="FFFFCB25"/>
        </patternFill>
      </fill>
    </dxf>
    <dxf>
      <fill>
        <patternFill>
          <bgColor rgb="FF00B0F0"/>
        </patternFill>
      </fill>
    </dxf>
    <dxf>
      <fill>
        <patternFill>
          <bgColor rgb="FFFF3300"/>
        </patternFill>
      </fill>
    </dxf>
    <dxf>
      <fill>
        <patternFill>
          <bgColor theme="4" tint="0.59996337778862885"/>
        </patternFill>
      </fill>
    </dxf>
    <dxf>
      <fill>
        <patternFill>
          <bgColor rgb="FFFFCB25"/>
        </patternFill>
      </fill>
    </dxf>
    <dxf>
      <font>
        <color rgb="FF9C0006"/>
      </font>
      <fill>
        <gradientFill degree="90">
          <stop position="0">
            <color theme="0"/>
          </stop>
          <stop position="1">
            <color rgb="FFF4A8A6"/>
          </stop>
        </gradientFill>
      </fill>
    </dxf>
    <dxf>
      <font>
        <color rgb="FF00610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color rgb="FF00610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1">
            <color rgb="FFF4A8A6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color theme="8" tint="-0.499984740745262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font>
        <color rgb="FFFF0000"/>
      </font>
      <fill>
        <patternFill patternType="solid">
          <fgColor auto="1"/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rgb="FFFFCB25"/>
        </patternFill>
      </fill>
    </dxf>
    <dxf>
      <font>
        <color rgb="FF9C0006"/>
      </font>
      <fill>
        <gradientFill degree="90">
          <stop position="0">
            <color theme="0"/>
          </stop>
          <stop position="1">
            <color rgb="FFF4A8A6"/>
          </stop>
        </gradientFill>
      </fill>
    </dxf>
    <dxf>
      <font>
        <color rgb="FF00610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color rgb="FF00610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1">
            <color rgb="FFF4A8A6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color theme="8" tint="-0.499984740745262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font>
        <color rgb="FFFF0000"/>
      </font>
      <fill>
        <patternFill patternType="solid">
          <fgColor auto="1"/>
          <bgColor theme="0"/>
        </patternFill>
      </fill>
    </dxf>
    <dxf>
      <fill>
        <patternFill>
          <bgColor theme="4" tint="0.59996337778862885"/>
        </patternFill>
      </fill>
    </dxf>
    <dxf>
      <fill>
        <patternFill>
          <bgColor rgb="FFFFCB25"/>
        </patternFill>
      </fill>
    </dxf>
    <dxf>
      <fill>
        <patternFill>
          <bgColor rgb="FF00B0F0"/>
        </patternFill>
      </fill>
    </dxf>
    <dxf>
      <fill>
        <patternFill>
          <bgColor rgb="FFFF3300"/>
        </patternFill>
      </fill>
    </dxf>
    <dxf>
      <fill>
        <patternFill>
          <bgColor theme="4" tint="0.59996337778862885"/>
        </patternFill>
      </fill>
    </dxf>
    <dxf>
      <fill>
        <patternFill>
          <bgColor rgb="FFFFCB25"/>
        </patternFill>
      </fill>
    </dxf>
    <dxf>
      <font>
        <color rgb="FF9C0006"/>
      </font>
      <fill>
        <gradientFill degree="90">
          <stop position="0">
            <color theme="0"/>
          </stop>
          <stop position="1">
            <color rgb="FFF4A8A6"/>
          </stop>
        </gradientFill>
      </fill>
    </dxf>
    <dxf>
      <font>
        <color rgb="FF00610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color rgb="FF00610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1">
            <color rgb="FFF4A8A6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color theme="8" tint="-0.499984740745262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font>
        <color rgb="FFFF0000"/>
      </font>
      <fill>
        <patternFill patternType="solid">
          <fgColor auto="1"/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3300"/>
        </patternFill>
      </fill>
    </dxf>
    <dxf>
      <fill>
        <patternFill>
          <bgColor theme="4" tint="0.59996337778862885"/>
        </patternFill>
      </fill>
    </dxf>
    <dxf>
      <fill>
        <patternFill>
          <bgColor rgb="FFFFCB25"/>
        </patternFill>
      </fill>
    </dxf>
    <dxf>
      <font>
        <color rgb="FF9C0006"/>
      </font>
      <fill>
        <gradientFill degree="90">
          <stop position="0">
            <color theme="0"/>
          </stop>
          <stop position="1">
            <color rgb="FFF4A8A6"/>
          </stop>
        </gradientFill>
      </fill>
    </dxf>
    <dxf>
      <font>
        <color rgb="FF00610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color rgb="FF00610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1">
            <color rgb="FFF4A8A6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color theme="8" tint="-0.499984740745262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font>
        <color rgb="FFFF0000"/>
      </font>
      <fill>
        <patternFill patternType="solid">
          <fgColor auto="1"/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ADCF4"/>
      <color rgb="FFDFC9EF"/>
      <color rgb="FFF4A8A6"/>
      <color rgb="FFFF3300"/>
      <color rgb="FFC7A1E3"/>
      <color rgb="FFFF5050"/>
      <color rgb="FFFFCB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36</xdr:row>
      <xdr:rowOff>0</xdr:rowOff>
    </xdr:from>
    <xdr:to>
      <xdr:col>12</xdr:col>
      <xdr:colOff>19050</xdr:colOff>
      <xdr:row>37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49EF06F-CC1C-492F-B0A6-B5ABEB47C01A}"/>
            </a:ext>
          </a:extLst>
        </xdr:cNvPr>
        <xdr:cNvSpPr txBox="1"/>
      </xdr:nvSpPr>
      <xdr:spPr>
        <a:xfrm>
          <a:off x="6667500" y="8496300"/>
          <a:ext cx="8572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R" sz="1000">
              <a:solidFill>
                <a:srgbClr val="FF0000"/>
              </a:solidFill>
            </a:rPr>
            <a:t>Físico</a:t>
          </a:r>
        </a:p>
      </xdr:txBody>
    </xdr:sp>
    <xdr:clientData/>
  </xdr:twoCellAnchor>
  <xdr:twoCellAnchor>
    <xdr:from>
      <xdr:col>12</xdr:col>
      <xdr:colOff>123825</xdr:colOff>
      <xdr:row>35</xdr:row>
      <xdr:rowOff>171450</xdr:rowOff>
    </xdr:from>
    <xdr:to>
      <xdr:col>13</xdr:col>
      <xdr:colOff>257175</xdr:colOff>
      <xdr:row>37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6E63835-CB72-4DCA-B457-1EDAB83AFB46}"/>
            </a:ext>
            <a:ext uri="{147F2762-F138-4A5C-976F-8EAC2B608ADB}">
              <a16:predDERef xmlns:a16="http://schemas.microsoft.com/office/drawing/2014/main" pred="{B0295B54-997C-4E0C-B556-435B0FA6D1C7}"/>
            </a:ext>
          </a:extLst>
        </xdr:cNvPr>
        <xdr:cNvSpPr txBox="1"/>
      </xdr:nvSpPr>
      <xdr:spPr>
        <a:xfrm>
          <a:off x="7629525" y="8486775"/>
          <a:ext cx="704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R" sz="1000">
              <a:solidFill>
                <a:srgbClr val="FF0000"/>
              </a:solidFill>
            </a:rPr>
            <a:t>Físico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35</xdr:row>
      <xdr:rowOff>0</xdr:rowOff>
    </xdr:from>
    <xdr:to>
      <xdr:col>12</xdr:col>
      <xdr:colOff>19050</xdr:colOff>
      <xdr:row>36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8837704-1F24-4DA2-AF88-22429663035C}"/>
            </a:ext>
          </a:extLst>
        </xdr:cNvPr>
        <xdr:cNvSpPr txBox="1"/>
      </xdr:nvSpPr>
      <xdr:spPr>
        <a:xfrm>
          <a:off x="7029450" y="8496300"/>
          <a:ext cx="8953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R" sz="1000">
              <a:solidFill>
                <a:srgbClr val="FF0000"/>
              </a:solidFill>
            </a:rPr>
            <a:t>Físico</a:t>
          </a:r>
        </a:p>
      </xdr:txBody>
    </xdr:sp>
    <xdr:clientData/>
  </xdr:twoCellAnchor>
  <xdr:twoCellAnchor>
    <xdr:from>
      <xdr:col>12</xdr:col>
      <xdr:colOff>123825</xdr:colOff>
      <xdr:row>34</xdr:row>
      <xdr:rowOff>171450</xdr:rowOff>
    </xdr:from>
    <xdr:to>
      <xdr:col>13</xdr:col>
      <xdr:colOff>257175</xdr:colOff>
      <xdr:row>36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B75369-E37E-448A-8F24-165522A70284}"/>
            </a:ext>
            <a:ext uri="{147F2762-F138-4A5C-976F-8EAC2B608ADB}">
              <a16:predDERef xmlns:a16="http://schemas.microsoft.com/office/drawing/2014/main" pred="{B0295B54-997C-4E0C-B556-435B0FA6D1C7}"/>
            </a:ext>
          </a:extLst>
        </xdr:cNvPr>
        <xdr:cNvSpPr txBox="1"/>
      </xdr:nvSpPr>
      <xdr:spPr>
        <a:xfrm>
          <a:off x="8029575" y="8486775"/>
          <a:ext cx="685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R" sz="1000">
              <a:solidFill>
                <a:srgbClr val="FF0000"/>
              </a:solidFill>
            </a:rPr>
            <a:t>Físico</a:t>
          </a:r>
        </a:p>
      </xdr:txBody>
    </xdr:sp>
    <xdr:clientData/>
  </xdr:twoCellAnchor>
  <xdr:oneCellAnchor>
    <xdr:from>
      <xdr:col>15</xdr:col>
      <xdr:colOff>254722</xdr:colOff>
      <xdr:row>0</xdr:row>
      <xdr:rowOff>174124</xdr:rowOff>
    </xdr:from>
    <xdr:ext cx="3554563" cy="468013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F6FE2BC-05C8-EA2E-F5F3-DBF4F4E80384}"/>
            </a:ext>
          </a:extLst>
        </xdr:cNvPr>
        <xdr:cNvSpPr/>
      </xdr:nvSpPr>
      <xdr:spPr>
        <a:xfrm>
          <a:off x="6930160" y="174124"/>
          <a:ext cx="3554563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PROGRAMA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ACTUALIZADO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22</xdr:col>
      <xdr:colOff>190500</xdr:colOff>
      <xdr:row>0</xdr:row>
      <xdr:rowOff>182563</xdr:rowOff>
    </xdr:from>
    <xdr:ext cx="3554563" cy="468013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07FAB43-262A-4A07-947F-CDB2C39CC080}"/>
            </a:ext>
          </a:extLst>
        </xdr:cNvPr>
        <xdr:cNvSpPr/>
      </xdr:nvSpPr>
      <xdr:spPr>
        <a:xfrm>
          <a:off x="10961688" y="182563"/>
          <a:ext cx="3554563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PROGRAMA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ACTUALIZADO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29</xdr:col>
      <xdr:colOff>301625</xdr:colOff>
      <xdr:row>0</xdr:row>
      <xdr:rowOff>79375</xdr:rowOff>
    </xdr:from>
    <xdr:ext cx="3554563" cy="468013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BAB78A6-72E1-434A-9229-28C9B076229A}"/>
            </a:ext>
          </a:extLst>
        </xdr:cNvPr>
        <xdr:cNvSpPr/>
      </xdr:nvSpPr>
      <xdr:spPr>
        <a:xfrm>
          <a:off x="14962188" y="79375"/>
          <a:ext cx="3554563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PROGRAMA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ACTUALIZADO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228600</xdr:colOff>
      <xdr:row>35</xdr:row>
      <xdr:rowOff>0</xdr:rowOff>
    </xdr:from>
    <xdr:to>
      <xdr:col>13</xdr:col>
      <xdr:colOff>19050</xdr:colOff>
      <xdr:row>36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9B1F5F2-518B-4A8A-BADC-CDE45A874DC1}"/>
            </a:ext>
          </a:extLst>
        </xdr:cNvPr>
        <xdr:cNvSpPr txBox="1"/>
      </xdr:nvSpPr>
      <xdr:spPr>
        <a:xfrm>
          <a:off x="7610475" y="8534400"/>
          <a:ext cx="8953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R" sz="1000">
              <a:solidFill>
                <a:srgbClr val="FF0000"/>
              </a:solidFill>
            </a:rPr>
            <a:t>Físico</a:t>
          </a:r>
        </a:p>
      </xdr:txBody>
    </xdr:sp>
    <xdr:clientData/>
  </xdr:twoCellAnchor>
  <xdr:twoCellAnchor>
    <xdr:from>
      <xdr:col>13</xdr:col>
      <xdr:colOff>123825</xdr:colOff>
      <xdr:row>34</xdr:row>
      <xdr:rowOff>171450</xdr:rowOff>
    </xdr:from>
    <xdr:to>
      <xdr:col>14</xdr:col>
      <xdr:colOff>257175</xdr:colOff>
      <xdr:row>36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FBBD8-92EA-41EF-AC88-E31F15299B66}"/>
            </a:ext>
            <a:ext uri="{147F2762-F138-4A5C-976F-8EAC2B608ADB}">
              <a16:predDERef xmlns:a16="http://schemas.microsoft.com/office/drawing/2014/main" pred="{B0295B54-997C-4E0C-B556-435B0FA6D1C7}"/>
            </a:ext>
          </a:extLst>
        </xdr:cNvPr>
        <xdr:cNvSpPr txBox="1"/>
      </xdr:nvSpPr>
      <xdr:spPr>
        <a:xfrm>
          <a:off x="8610600" y="8524875"/>
          <a:ext cx="6953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R" sz="1000">
              <a:solidFill>
                <a:srgbClr val="FF0000"/>
              </a:solidFill>
            </a:rPr>
            <a:t>Físico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ED6E419F-B0F9-44CD-A44D-6912F67794BA}"/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31C2C9F6-FC6B-4693-9583-4887108A4B28}"/>
</namedSheetViews>
</file>

<file path=xl/namedSheetViews/namedSheetView3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9E383A88-4592-405E-AC68-FEA79747EACE}"/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2B09E-FC05-4526-A862-E7A312E00864}">
  <sheetPr codeName="Sheet25">
    <tabColor rgb="FFFF0000"/>
  </sheetPr>
  <dimension ref="A1:AR43"/>
  <sheetViews>
    <sheetView tabSelected="1" view="pageBreakPreview" zoomScaleNormal="100" zoomScaleSheetLayoutView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24" sqref="C24"/>
    </sheetView>
  </sheetViews>
  <sheetFormatPr baseColWidth="10" defaultColWidth="9.1640625" defaultRowHeight="12" x14ac:dyDescent="0.15"/>
  <cols>
    <col min="1" max="1" width="27.5" style="2" bestFit="1" customWidth="1"/>
    <col min="2" max="2" width="8.5" style="8" bestFit="1" customWidth="1"/>
    <col min="3" max="10" width="7.5" style="8" bestFit="1" customWidth="1"/>
    <col min="11" max="11" width="8.1640625" style="8" bestFit="1" customWidth="1"/>
    <col min="12" max="12" width="7.83203125" style="8" bestFit="1" customWidth="1"/>
    <col min="13" max="13" width="8.5" style="8" bestFit="1" customWidth="1"/>
    <col min="14" max="15" width="8.1640625" style="8" bestFit="1" customWidth="1"/>
    <col min="16" max="36" width="8.33203125" style="8" customWidth="1"/>
    <col min="37" max="37" width="7" style="8" bestFit="1" customWidth="1"/>
    <col min="38" max="38" width="6" style="8" bestFit="1" customWidth="1"/>
    <col min="39" max="39" width="4.5" style="8" bestFit="1" customWidth="1"/>
    <col min="40" max="40" width="6" style="8" bestFit="1" customWidth="1"/>
    <col min="41" max="41" width="4.83203125" style="8" bestFit="1" customWidth="1"/>
    <col min="42" max="42" width="5.6640625" style="8" bestFit="1" customWidth="1"/>
    <col min="43" max="43" width="13.33203125" style="8" customWidth="1"/>
    <col min="44" max="44" width="9.1640625" style="8"/>
    <col min="45" max="16384" width="9.1640625" style="2"/>
  </cols>
  <sheetData>
    <row r="1" spans="1:44" ht="30" x14ac:dyDescent="0.15">
      <c r="A1" s="18" t="s">
        <v>0</v>
      </c>
      <c r="C1" s="15"/>
      <c r="J1" s="173"/>
      <c r="K1" s="15"/>
      <c r="Q1" s="173"/>
      <c r="Z1" s="173"/>
      <c r="AB1" s="16"/>
      <c r="AF1" s="15"/>
      <c r="AG1" s="3"/>
      <c r="AH1" s="15"/>
    </row>
    <row r="2" spans="1:44" ht="28.5" customHeight="1" thickBot="1" x14ac:dyDescent="0.25">
      <c r="A2" s="1" t="s">
        <v>1</v>
      </c>
      <c r="B2" s="29"/>
      <c r="C2" s="137"/>
      <c r="D2" s="29"/>
      <c r="E2" s="29"/>
      <c r="F2" s="29"/>
      <c r="G2" s="93"/>
      <c r="H2" s="29"/>
      <c r="I2" s="29"/>
      <c r="J2" s="30"/>
      <c r="K2" s="29"/>
      <c r="L2" s="38"/>
      <c r="M2" s="29"/>
      <c r="N2" s="29"/>
      <c r="O2" s="29"/>
      <c r="P2" s="29"/>
      <c r="R2" s="29"/>
      <c r="U2" s="29" t="s">
        <v>2</v>
      </c>
      <c r="V2" s="29"/>
      <c r="W2" s="29"/>
      <c r="X2" s="85"/>
      <c r="Y2" s="29"/>
      <c r="Z2" s="137"/>
      <c r="AA2" s="29"/>
      <c r="AB2" s="29"/>
      <c r="AC2" s="29"/>
      <c r="AD2" s="29"/>
      <c r="AE2" s="29"/>
      <c r="AF2" s="29"/>
      <c r="AG2" s="29"/>
      <c r="AH2" s="29"/>
      <c r="AI2" s="171"/>
      <c r="AQ2" s="7"/>
    </row>
    <row r="3" spans="1:44" ht="17.25" customHeight="1" thickTop="1" x14ac:dyDescent="0.15">
      <c r="A3" s="219" t="s">
        <v>3</v>
      </c>
      <c r="B3" s="138" t="s">
        <v>4</v>
      </c>
      <c r="C3" s="139" t="s">
        <v>5</v>
      </c>
      <c r="D3" s="140" t="s">
        <v>6</v>
      </c>
      <c r="E3" s="141" t="s">
        <v>7</v>
      </c>
      <c r="F3" s="141" t="s">
        <v>8</v>
      </c>
      <c r="G3" s="142" t="s">
        <v>9</v>
      </c>
      <c r="H3" s="143" t="s">
        <v>10</v>
      </c>
      <c r="I3" s="138" t="s">
        <v>4</v>
      </c>
      <c r="J3" s="139" t="s">
        <v>5</v>
      </c>
      <c r="K3" s="140" t="s">
        <v>6</v>
      </c>
      <c r="L3" s="141" t="s">
        <v>7</v>
      </c>
      <c r="M3" s="141" t="s">
        <v>8</v>
      </c>
      <c r="N3" s="142" t="s">
        <v>9</v>
      </c>
      <c r="O3" s="143" t="s">
        <v>10</v>
      </c>
      <c r="P3" s="144" t="s">
        <v>4</v>
      </c>
      <c r="Q3" s="122" t="s">
        <v>5</v>
      </c>
      <c r="R3" s="123" t="s">
        <v>6</v>
      </c>
      <c r="S3" s="123" t="s">
        <v>7</v>
      </c>
      <c r="T3" s="123" t="s">
        <v>8</v>
      </c>
      <c r="U3" s="114" t="s">
        <v>9</v>
      </c>
      <c r="V3" s="145" t="s">
        <v>10</v>
      </c>
      <c r="W3" s="144" t="s">
        <v>4</v>
      </c>
      <c r="X3" s="122" t="s">
        <v>5</v>
      </c>
      <c r="Y3" s="123" t="s">
        <v>6</v>
      </c>
      <c r="Z3" s="123" t="s">
        <v>7</v>
      </c>
      <c r="AA3" s="123" t="s">
        <v>8</v>
      </c>
      <c r="AB3" s="123" t="s">
        <v>9</v>
      </c>
      <c r="AC3" s="145" t="s">
        <v>10</v>
      </c>
      <c r="AD3" s="144" t="s">
        <v>4</v>
      </c>
      <c r="AE3" s="146" t="s">
        <v>5</v>
      </c>
      <c r="AF3" s="122" t="s">
        <v>6</v>
      </c>
      <c r="AG3" s="123" t="s">
        <v>7</v>
      </c>
      <c r="AH3" s="123" t="s">
        <v>8</v>
      </c>
      <c r="AI3" s="172" t="s">
        <v>9</v>
      </c>
      <c r="AJ3" s="147" t="s">
        <v>10</v>
      </c>
      <c r="AK3" s="221" t="s">
        <v>11</v>
      </c>
      <c r="AL3" s="211" t="s">
        <v>12</v>
      </c>
      <c r="AM3" s="211" t="s">
        <v>13</v>
      </c>
      <c r="AN3" s="211" t="s">
        <v>14</v>
      </c>
      <c r="AO3" s="211" t="s">
        <v>15</v>
      </c>
      <c r="AP3" s="192" t="s">
        <v>16</v>
      </c>
      <c r="AQ3" s="231" t="s">
        <v>17</v>
      </c>
    </row>
    <row r="4" spans="1:44" ht="13" thickBot="1" x14ac:dyDescent="0.2">
      <c r="A4" s="220"/>
      <c r="B4" s="148">
        <v>46173</v>
      </c>
      <c r="C4" s="149">
        <f>B4+1</f>
        <v>46174</v>
      </c>
      <c r="D4" s="150">
        <f>C4+1</f>
        <v>46175</v>
      </c>
      <c r="E4" s="150">
        <f t="shared" ref="E4:H4" si="0">D4+1</f>
        <v>46176</v>
      </c>
      <c r="F4" s="150">
        <f t="shared" si="0"/>
        <v>46177</v>
      </c>
      <c r="G4" s="150">
        <f t="shared" si="0"/>
        <v>46178</v>
      </c>
      <c r="H4" s="150">
        <f t="shared" si="0"/>
        <v>46179</v>
      </c>
      <c r="I4" s="151">
        <f>H4+1</f>
        <v>46180</v>
      </c>
      <c r="J4" s="124">
        <f t="shared" ref="J4:O4" si="1">I4+1</f>
        <v>46181</v>
      </c>
      <c r="K4" s="124">
        <f t="shared" si="1"/>
        <v>46182</v>
      </c>
      <c r="L4" s="124">
        <f t="shared" si="1"/>
        <v>46183</v>
      </c>
      <c r="M4" s="124">
        <f t="shared" si="1"/>
        <v>46184</v>
      </c>
      <c r="N4" s="124">
        <f t="shared" si="1"/>
        <v>46185</v>
      </c>
      <c r="O4" s="152">
        <f t="shared" si="1"/>
        <v>46186</v>
      </c>
      <c r="P4" s="151">
        <f>O4+1</f>
        <v>46187</v>
      </c>
      <c r="Q4" s="124">
        <f t="shared" ref="Q4:V4" si="2">P4+1</f>
        <v>46188</v>
      </c>
      <c r="R4" s="124">
        <f t="shared" si="2"/>
        <v>46189</v>
      </c>
      <c r="S4" s="124">
        <f t="shared" si="2"/>
        <v>46190</v>
      </c>
      <c r="T4" s="124">
        <f t="shared" si="2"/>
        <v>46191</v>
      </c>
      <c r="U4" s="107">
        <f t="shared" si="2"/>
        <v>46192</v>
      </c>
      <c r="V4" s="152">
        <f t="shared" si="2"/>
        <v>46193</v>
      </c>
      <c r="W4" s="151">
        <f>V4+1</f>
        <v>46194</v>
      </c>
      <c r="X4" s="124">
        <f t="shared" ref="X4:AC4" si="3">W4+1</f>
        <v>46195</v>
      </c>
      <c r="Y4" s="124">
        <f t="shared" si="3"/>
        <v>46196</v>
      </c>
      <c r="Z4" s="124">
        <f t="shared" si="3"/>
        <v>46197</v>
      </c>
      <c r="AA4" s="124">
        <f t="shared" si="3"/>
        <v>46198</v>
      </c>
      <c r="AB4" s="124">
        <f t="shared" si="3"/>
        <v>46199</v>
      </c>
      <c r="AC4" s="152">
        <f t="shared" si="3"/>
        <v>46200</v>
      </c>
      <c r="AD4" s="151">
        <f>AC4+1</f>
        <v>46201</v>
      </c>
      <c r="AE4" s="124">
        <f t="shared" ref="AE4:AJ4" si="4">AD4+1</f>
        <v>46202</v>
      </c>
      <c r="AF4" s="124">
        <f t="shared" si="4"/>
        <v>46203</v>
      </c>
      <c r="AG4" s="124">
        <f t="shared" si="4"/>
        <v>46204</v>
      </c>
      <c r="AH4" s="124">
        <f t="shared" si="4"/>
        <v>46205</v>
      </c>
      <c r="AI4" s="124">
        <f t="shared" si="4"/>
        <v>46206</v>
      </c>
      <c r="AJ4" s="153">
        <f t="shared" si="4"/>
        <v>46207</v>
      </c>
      <c r="AK4" s="222"/>
      <c r="AL4" s="212"/>
      <c r="AM4" s="212"/>
      <c r="AN4" s="212"/>
      <c r="AO4" s="212"/>
      <c r="AP4" s="193"/>
      <c r="AQ4" s="232"/>
    </row>
    <row r="5" spans="1:44" ht="30" customHeight="1" thickTop="1" x14ac:dyDescent="0.15">
      <c r="A5" s="255" t="s">
        <v>18</v>
      </c>
      <c r="B5" s="39" t="s">
        <v>5</v>
      </c>
      <c r="C5" s="40" t="s">
        <v>15</v>
      </c>
      <c r="D5" s="41" t="s">
        <v>11</v>
      </c>
      <c r="E5" s="40" t="s">
        <v>11</v>
      </c>
      <c r="F5" s="40" t="s">
        <v>15</v>
      </c>
      <c r="G5" s="42" t="s">
        <v>5</v>
      </c>
      <c r="H5" s="43" t="s">
        <v>11</v>
      </c>
      <c r="I5" s="39" t="s">
        <v>11</v>
      </c>
      <c r="J5" s="40" t="s">
        <v>11</v>
      </c>
      <c r="K5" s="41" t="s">
        <v>5</v>
      </c>
      <c r="L5" s="40" t="s">
        <v>5</v>
      </c>
      <c r="M5" s="40" t="s">
        <v>19</v>
      </c>
      <c r="N5" s="42" t="s">
        <v>11</v>
      </c>
      <c r="O5" s="43" t="s">
        <v>11</v>
      </c>
      <c r="P5" s="39" t="s">
        <v>11</v>
      </c>
      <c r="Q5" s="40" t="s">
        <v>5</v>
      </c>
      <c r="R5" s="40" t="s">
        <v>15</v>
      </c>
      <c r="S5" s="40" t="s">
        <v>15</v>
      </c>
      <c r="T5" s="40" t="s">
        <v>11</v>
      </c>
      <c r="U5" s="108" t="s">
        <v>11</v>
      </c>
      <c r="V5" s="43" t="s">
        <v>5</v>
      </c>
      <c r="W5" s="39" t="s">
        <v>5</v>
      </c>
      <c r="X5" s="41" t="s">
        <v>15</v>
      </c>
      <c r="Y5" s="42" t="s">
        <v>15</v>
      </c>
      <c r="Z5" s="40" t="s">
        <v>11</v>
      </c>
      <c r="AA5" s="41" t="s">
        <v>11</v>
      </c>
      <c r="AB5" s="40" t="s">
        <v>5</v>
      </c>
      <c r="AC5" s="43" t="s">
        <v>11</v>
      </c>
      <c r="AD5" s="39" t="s">
        <v>11</v>
      </c>
      <c r="AE5" s="40" t="s">
        <v>11</v>
      </c>
      <c r="AF5" s="41" t="s">
        <v>5</v>
      </c>
      <c r="AG5" s="40" t="s">
        <v>5</v>
      </c>
      <c r="AH5" s="40" t="s">
        <v>11</v>
      </c>
      <c r="AI5" s="42" t="s">
        <v>11</v>
      </c>
      <c r="AJ5" s="43" t="s">
        <v>11</v>
      </c>
      <c r="AK5" s="214" cm="1">
        <f t="array" ref="AK5">SUMPRODUCT(--(MONTH($B4:$AJ4)=6), --($B5:$AJ5="4/12"))</f>
        <v>15</v>
      </c>
      <c r="AL5" s="216" cm="1">
        <f t="array" ref="AL5">SUMPRODUCT(--(MONTH($B4:$AJ4)=6), --($B5:$AJ5="4:30 / 12:30"))</f>
        <v>0</v>
      </c>
      <c r="AM5" s="218" cm="1">
        <f t="array" ref="AM5">SUMPRODUCT(--(MONTH($B4:$AJ4)=6), --($B5:$AJ5="5/1"))</f>
        <v>0</v>
      </c>
      <c r="AN5" s="218" cm="1">
        <f t="array" ref="AN5">SUMPRODUCT(--(MONTH($B4:$AJ4)=6), --($B5:$AJ5="5:30 / 1:30"))</f>
        <v>0</v>
      </c>
      <c r="AO5" s="218" cm="1">
        <f t="array" ref="AO5">SUMPRODUCT(--(MONTH($B4:$AJ4)=6), --($B5:$AJ5="6/2"))</f>
        <v>6</v>
      </c>
      <c r="AP5" s="194" cm="1">
        <f t="array" ref="AP5">SUMPRODUCT(--(MONTH($B4:$AJ4)=6), --($B5:$AJ5="10/6"))</f>
        <v>0</v>
      </c>
      <c r="AQ5" s="233">
        <f>SUM(AK5:AN6)</f>
        <v>15</v>
      </c>
      <c r="AR5" s="7"/>
    </row>
    <row r="6" spans="1:44" s="4" customFormat="1" ht="13" x14ac:dyDescent="0.15">
      <c r="A6" s="258">
        <v>889961</v>
      </c>
      <c r="B6" s="44"/>
      <c r="C6" s="45"/>
      <c r="D6" s="177"/>
      <c r="E6" s="45"/>
      <c r="F6" s="45"/>
      <c r="G6" s="176"/>
      <c r="H6" s="46"/>
      <c r="I6" s="44"/>
      <c r="J6" s="45"/>
      <c r="K6" s="177"/>
      <c r="L6" s="90"/>
      <c r="M6" s="45"/>
      <c r="N6" s="176"/>
      <c r="O6" s="46"/>
      <c r="P6" s="44"/>
      <c r="Q6" s="47"/>
      <c r="R6" s="45"/>
      <c r="S6" s="48"/>
      <c r="T6" s="45"/>
      <c r="U6" s="115"/>
      <c r="V6" s="46"/>
      <c r="W6" s="44"/>
      <c r="X6" s="177"/>
      <c r="Y6" s="45"/>
      <c r="Z6" s="45"/>
      <c r="AA6" s="45"/>
      <c r="AB6" s="45"/>
      <c r="AC6" s="46"/>
      <c r="AD6" s="44"/>
      <c r="AE6" s="45"/>
      <c r="AF6" s="177"/>
      <c r="AG6" s="45"/>
      <c r="AH6" s="45"/>
      <c r="AI6" s="176"/>
      <c r="AJ6" s="46"/>
      <c r="AK6" s="215"/>
      <c r="AL6" s="217"/>
      <c r="AM6" s="205"/>
      <c r="AN6" s="205"/>
      <c r="AO6" s="205"/>
      <c r="AP6" s="195"/>
      <c r="AQ6" s="227"/>
      <c r="AR6" s="173"/>
    </row>
    <row r="7" spans="1:44" ht="30" customHeight="1" x14ac:dyDescent="0.15">
      <c r="A7" s="97" t="s">
        <v>21</v>
      </c>
      <c r="B7" s="49" t="s">
        <v>11</v>
      </c>
      <c r="C7" s="50" t="s">
        <v>11</v>
      </c>
      <c r="D7" s="51" t="s">
        <v>5</v>
      </c>
      <c r="E7" s="50" t="s">
        <v>5</v>
      </c>
      <c r="F7" s="50" t="s">
        <v>11</v>
      </c>
      <c r="G7" s="52" t="s">
        <v>11</v>
      </c>
      <c r="H7" s="53" t="s">
        <v>15</v>
      </c>
      <c r="I7" s="49" t="s">
        <v>15</v>
      </c>
      <c r="J7" s="50" t="s">
        <v>5</v>
      </c>
      <c r="K7" s="51" t="s">
        <v>11</v>
      </c>
      <c r="L7" s="50" t="s">
        <v>11</v>
      </c>
      <c r="M7" s="50" t="s">
        <v>11</v>
      </c>
      <c r="N7" s="52" t="s">
        <v>15</v>
      </c>
      <c r="O7" s="53" t="s">
        <v>5</v>
      </c>
      <c r="P7" s="49" t="s">
        <v>5</v>
      </c>
      <c r="Q7" s="50" t="s">
        <v>11</v>
      </c>
      <c r="R7" s="54" t="s">
        <v>11</v>
      </c>
      <c r="S7" s="50" t="s">
        <v>11</v>
      </c>
      <c r="T7" s="51" t="s">
        <v>5</v>
      </c>
      <c r="U7" s="109" t="s">
        <v>20</v>
      </c>
      <c r="V7" s="53" t="s">
        <v>11</v>
      </c>
      <c r="W7" s="49" t="s">
        <v>11</v>
      </c>
      <c r="X7" s="51" t="s">
        <v>11</v>
      </c>
      <c r="Y7" s="50" t="s">
        <v>11</v>
      </c>
      <c r="Z7" s="50" t="s">
        <v>5</v>
      </c>
      <c r="AA7" s="50" t="s">
        <v>5</v>
      </c>
      <c r="AB7" s="50" t="s">
        <v>11</v>
      </c>
      <c r="AC7" s="53" t="s">
        <v>15</v>
      </c>
      <c r="AD7" s="49" t="s">
        <v>15</v>
      </c>
      <c r="AE7" s="50" t="s">
        <v>5</v>
      </c>
      <c r="AF7" s="51" t="s">
        <v>11</v>
      </c>
      <c r="AG7" s="50" t="s">
        <v>11</v>
      </c>
      <c r="AH7" s="50" t="s">
        <v>15</v>
      </c>
      <c r="AI7" s="52" t="s">
        <v>15</v>
      </c>
      <c r="AJ7" s="53" t="s">
        <v>5</v>
      </c>
      <c r="AK7" s="209" cm="1">
        <f t="array" ref="AK7">SUMPRODUCT(--(MONTH($B4:$AJ4)=6), --($B7:$AJ7="4/12"))</f>
        <v>15</v>
      </c>
      <c r="AL7" s="205" cm="1">
        <f t="array" ref="AL7">SUMPRODUCT(--(MONTH($B4:$AJ4)=6), --($B7:$AJ7="4:30 / 12:30"))</f>
        <v>0</v>
      </c>
      <c r="AM7" s="205" cm="1">
        <f t="array" ref="AM7">SUMPRODUCT(--(MONTH($B4:$AJ4)=6), --($B7:$AJ7="5/1"))</f>
        <v>0</v>
      </c>
      <c r="AN7" s="205" cm="1">
        <f t="array" ref="AN7">SUMPRODUCT(--(MONTH($B4:$AJ4)=6), --($B7:$AJ7="5:30 / 1:30"))</f>
        <v>0</v>
      </c>
      <c r="AO7" s="205" cm="1">
        <f t="array" ref="AO7">SUMPRODUCT(--(MONTH($B4:$AJ4)=6), --($B7:$AJ7="6/2"))</f>
        <v>5</v>
      </c>
      <c r="AP7" s="195" cm="1">
        <f t="array" ref="AP7">SUMPRODUCT(--(MONTH($B4:$AJ4)=6), --($B7:$AJ7="10/6"))</f>
        <v>0</v>
      </c>
      <c r="AQ7" s="227">
        <f t="shared" ref="AQ7" si="5">SUM(AK7:AN8)</f>
        <v>15</v>
      </c>
    </row>
    <row r="8" spans="1:44" s="4" customFormat="1" ht="14" x14ac:dyDescent="0.15">
      <c r="A8" s="258">
        <v>889553</v>
      </c>
      <c r="B8" s="44"/>
      <c r="C8" s="45"/>
      <c r="D8" s="55"/>
      <c r="E8" s="45"/>
      <c r="F8" s="45" t="s">
        <v>24</v>
      </c>
      <c r="G8" s="176"/>
      <c r="H8" s="46"/>
      <c r="I8" s="44"/>
      <c r="J8" s="45"/>
      <c r="K8" s="55"/>
      <c r="L8" s="45"/>
      <c r="M8" s="45"/>
      <c r="N8" s="176"/>
      <c r="O8" s="46"/>
      <c r="P8" s="44"/>
      <c r="Q8" s="95"/>
      <c r="R8" s="176"/>
      <c r="S8" s="45"/>
      <c r="T8" s="45"/>
      <c r="U8" s="115"/>
      <c r="V8" s="46"/>
      <c r="W8" s="44"/>
      <c r="X8" s="55"/>
      <c r="Y8" s="176"/>
      <c r="Z8" s="176"/>
      <c r="AA8" s="176"/>
      <c r="AB8" s="176"/>
      <c r="AC8" s="46"/>
      <c r="AD8" s="44"/>
      <c r="AE8" s="45"/>
      <c r="AF8" s="55"/>
      <c r="AG8" s="45"/>
      <c r="AH8" s="45"/>
      <c r="AI8" s="176"/>
      <c r="AJ8" s="46"/>
      <c r="AK8" s="210"/>
      <c r="AL8" s="206"/>
      <c r="AM8" s="206"/>
      <c r="AN8" s="206"/>
      <c r="AO8" s="206"/>
      <c r="AP8" s="196"/>
      <c r="AQ8" s="228"/>
      <c r="AR8" s="173"/>
    </row>
    <row r="9" spans="1:44" ht="30" customHeight="1" x14ac:dyDescent="0.15">
      <c r="A9" s="97" t="s">
        <v>25</v>
      </c>
      <c r="B9" s="49" t="s">
        <v>15</v>
      </c>
      <c r="C9" s="50" t="s">
        <v>5</v>
      </c>
      <c r="D9" s="54" t="s">
        <v>15</v>
      </c>
      <c r="E9" s="50" t="s">
        <v>15</v>
      </c>
      <c r="F9" s="50" t="s">
        <v>13</v>
      </c>
      <c r="G9" s="52" t="s">
        <v>15</v>
      </c>
      <c r="H9" s="53" t="s">
        <v>5</v>
      </c>
      <c r="I9" s="49" t="s">
        <v>5</v>
      </c>
      <c r="J9" s="50" t="s">
        <v>15</v>
      </c>
      <c r="K9" s="54" t="s">
        <v>15</v>
      </c>
      <c r="L9" s="50" t="s">
        <v>15</v>
      </c>
      <c r="M9" s="50" t="s">
        <v>15</v>
      </c>
      <c r="N9" s="52" t="s">
        <v>5</v>
      </c>
      <c r="O9" s="53" t="s">
        <v>15</v>
      </c>
      <c r="P9" s="49" t="s">
        <v>15</v>
      </c>
      <c r="Q9" s="52" t="s">
        <v>15</v>
      </c>
      <c r="R9" s="52" t="s">
        <v>5</v>
      </c>
      <c r="S9" s="50" t="s">
        <v>5</v>
      </c>
      <c r="T9" s="52" t="s">
        <v>15</v>
      </c>
      <c r="U9" s="109" t="s">
        <v>15</v>
      </c>
      <c r="V9" s="56" t="s">
        <v>15</v>
      </c>
      <c r="W9" s="49" t="s">
        <v>15</v>
      </c>
      <c r="X9" s="50" t="s">
        <v>5</v>
      </c>
      <c r="Y9" s="50" t="s">
        <v>13</v>
      </c>
      <c r="Z9" s="50" t="s">
        <v>15</v>
      </c>
      <c r="AA9" s="50" t="s">
        <v>15</v>
      </c>
      <c r="AB9" s="50" t="s">
        <v>15</v>
      </c>
      <c r="AC9" s="56" t="s">
        <v>5</v>
      </c>
      <c r="AD9" s="49" t="s">
        <v>5</v>
      </c>
      <c r="AE9" s="50" t="s">
        <v>15</v>
      </c>
      <c r="AF9" s="54" t="s">
        <v>15</v>
      </c>
      <c r="AG9" s="50" t="s">
        <v>15</v>
      </c>
      <c r="AH9" s="50" t="s">
        <v>13</v>
      </c>
      <c r="AI9" s="52" t="s">
        <v>5</v>
      </c>
      <c r="AJ9" s="53" t="s">
        <v>15</v>
      </c>
      <c r="AK9" s="189" cm="1">
        <f t="array" ref="AK9">SUMPRODUCT(--(MONTH($B4:$AJ4)=6), --($B9:$AJ9="4/12"))</f>
        <v>0</v>
      </c>
      <c r="AL9" s="188" cm="1">
        <f t="array" ref="AL9">SUMPRODUCT(--(MONTH($B4:$AJ4)=6), --($B9:$AJ9="4:30 / 12:30"))</f>
        <v>0</v>
      </c>
      <c r="AM9" s="188" cm="1">
        <f t="array" ref="AM9">SUMPRODUCT(--(MONTH($B4:$AJ4)=6), --($B9:$AJ9="5/1"))</f>
        <v>2</v>
      </c>
      <c r="AN9" s="188" cm="1">
        <f t="array" ref="AN9">SUMPRODUCT(--(MONTH($B4:$AJ4)=6), --($B9:$AJ9="5:30 / 1:30"))</f>
        <v>0</v>
      </c>
      <c r="AO9" s="188" cm="1">
        <f t="array" ref="AO9">SUMPRODUCT(--(MONTH($B4:$AJ4)=6), --($B9:$AJ9="6/2"))</f>
        <v>19</v>
      </c>
      <c r="AP9" s="186" cm="1">
        <f t="array" ref="AP9">SUMPRODUCT(--(MONTH($B4:$AJ4)=6), --($B9:$AJ9="10/6"))</f>
        <v>0</v>
      </c>
      <c r="AQ9" s="229">
        <f t="shared" ref="AQ9" si="6">SUM(AK9:AN10)</f>
        <v>2</v>
      </c>
    </row>
    <row r="10" spans="1:44" s="4" customFormat="1" ht="14" thickBot="1" x14ac:dyDescent="0.2">
      <c r="A10" s="258">
        <v>890987</v>
      </c>
      <c r="B10" s="25"/>
      <c r="C10" s="23"/>
      <c r="D10" s="57"/>
      <c r="E10" s="21"/>
      <c r="F10" s="21"/>
      <c r="G10" s="175"/>
      <c r="H10" s="58"/>
      <c r="I10" s="25"/>
      <c r="J10" s="21"/>
      <c r="K10" s="57"/>
      <c r="L10" s="21"/>
      <c r="M10" s="21"/>
      <c r="N10" s="175"/>
      <c r="O10" s="58"/>
      <c r="P10" s="25"/>
      <c r="Q10" s="57"/>
      <c r="R10" s="175"/>
      <c r="S10" s="21"/>
      <c r="T10" s="21"/>
      <c r="U10" s="120"/>
      <c r="V10" s="58"/>
      <c r="W10" s="25"/>
      <c r="X10" s="57"/>
      <c r="Y10" s="175"/>
      <c r="Z10" s="21"/>
      <c r="AA10" s="21"/>
      <c r="AB10" s="21"/>
      <c r="AC10" s="58"/>
      <c r="AD10" s="25"/>
      <c r="AE10" s="21"/>
      <c r="AF10" s="57"/>
      <c r="AG10" s="21"/>
      <c r="AH10" s="21"/>
      <c r="AI10" s="175"/>
      <c r="AJ10" s="58"/>
      <c r="AK10" s="190"/>
      <c r="AL10" s="191"/>
      <c r="AM10" s="191"/>
      <c r="AN10" s="191"/>
      <c r="AO10" s="191"/>
      <c r="AP10" s="187"/>
      <c r="AQ10" s="230"/>
      <c r="AR10" s="173"/>
    </row>
    <row r="11" spans="1:44" ht="30" customHeight="1" thickTop="1" x14ac:dyDescent="0.15">
      <c r="A11" s="256" t="s">
        <v>26</v>
      </c>
      <c r="B11" s="39" t="s">
        <v>27</v>
      </c>
      <c r="C11" s="40" t="s">
        <v>5</v>
      </c>
      <c r="D11" s="59" t="s">
        <v>27</v>
      </c>
      <c r="E11" s="60" t="s">
        <v>27</v>
      </c>
      <c r="F11" s="41" t="s">
        <v>27</v>
      </c>
      <c r="G11" s="61" t="s">
        <v>19</v>
      </c>
      <c r="H11" s="43" t="s">
        <v>5</v>
      </c>
      <c r="I11" s="39" t="s">
        <v>5</v>
      </c>
      <c r="J11" s="40" t="s">
        <v>27</v>
      </c>
      <c r="K11" s="59" t="s">
        <v>27</v>
      </c>
      <c r="L11" s="50" t="s">
        <v>27</v>
      </c>
      <c r="M11" s="41" t="s">
        <v>5</v>
      </c>
      <c r="N11" s="61" t="s">
        <v>16</v>
      </c>
      <c r="O11" s="43" t="s">
        <v>16</v>
      </c>
      <c r="P11" s="39" t="s">
        <v>16</v>
      </c>
      <c r="Q11" s="41" t="s">
        <v>27</v>
      </c>
      <c r="R11" s="40" t="s">
        <v>27</v>
      </c>
      <c r="S11" s="40" t="s">
        <v>5</v>
      </c>
      <c r="T11" s="40" t="s">
        <v>5</v>
      </c>
      <c r="U11" s="108" t="s">
        <v>27</v>
      </c>
      <c r="V11" s="43" t="s">
        <v>27</v>
      </c>
      <c r="W11" s="39" t="s">
        <v>27</v>
      </c>
      <c r="X11" s="41" t="s">
        <v>16</v>
      </c>
      <c r="Y11" s="40" t="s">
        <v>5</v>
      </c>
      <c r="Z11" s="40" t="s">
        <v>27</v>
      </c>
      <c r="AA11" s="40" t="s">
        <v>16</v>
      </c>
      <c r="AB11" s="40" t="s">
        <v>16</v>
      </c>
      <c r="AC11" s="43" t="s">
        <v>5</v>
      </c>
      <c r="AD11" s="39" t="s">
        <v>5</v>
      </c>
      <c r="AE11" s="40" t="s">
        <v>27</v>
      </c>
      <c r="AF11" s="59" t="s">
        <v>27</v>
      </c>
      <c r="AG11" s="60" t="s">
        <v>27</v>
      </c>
      <c r="AH11" s="41" t="s">
        <v>16</v>
      </c>
      <c r="AI11" s="61" t="s">
        <v>5</v>
      </c>
      <c r="AJ11" s="43" t="s">
        <v>27</v>
      </c>
      <c r="AK11" s="203" cm="1">
        <f t="array" ref="AK11">SUMPRODUCT(--(MONTH($B4:$AJ4)=6), --($B11:$AJ11="4/12"))</f>
        <v>0</v>
      </c>
      <c r="AL11" s="204" cm="1">
        <f t="array" ref="AL11">SUMPRODUCT(--(MONTH($B4:$AJ4)=6), --($B11:$AJ11="4:30 / 12:30"))</f>
        <v>14</v>
      </c>
      <c r="AM11" s="204" cm="1">
        <f t="array" ref="AM11">SUMPRODUCT(--(MONTH($B4:$AJ4)=6), --($B11:$AJ11="5/1"))</f>
        <v>0</v>
      </c>
      <c r="AN11" s="204" cm="1">
        <f t="array" ref="AN11">SUMPRODUCT(--(MONTH($B4:$AJ4)=6), --($B11:$AJ11="5:30 / 1:30"))</f>
        <v>0</v>
      </c>
      <c r="AO11" s="204" cm="1">
        <f t="array" ref="AO11">SUMPRODUCT(--(MONTH($B4:$AJ4)=6), --($B11:$AJ11="6/2"))</f>
        <v>0</v>
      </c>
      <c r="AP11" s="197" cm="1">
        <f t="array" ref="AP11">SUMPRODUCT(--(MONTH($B4:$AJ4)=6), --($B11:$AJ11="10/6"))</f>
        <v>6</v>
      </c>
      <c r="AQ11" s="226">
        <f t="shared" ref="AQ11" si="7">SUM(AK11:AN12)</f>
        <v>14</v>
      </c>
      <c r="AR11" s="7"/>
    </row>
    <row r="12" spans="1:44" s="4" customFormat="1" ht="12" customHeight="1" x14ac:dyDescent="0.15">
      <c r="A12" s="258">
        <v>889982</v>
      </c>
      <c r="B12" s="44"/>
      <c r="C12" s="45"/>
      <c r="D12" s="177"/>
      <c r="E12" s="45"/>
      <c r="F12" s="45"/>
      <c r="G12" s="176"/>
      <c r="H12" s="46"/>
      <c r="I12" s="44"/>
      <c r="J12" s="45"/>
      <c r="K12" s="177"/>
      <c r="L12" s="45"/>
      <c r="M12" s="45"/>
      <c r="N12" s="176"/>
      <c r="O12" s="46"/>
      <c r="P12" s="44"/>
      <c r="Q12" s="177"/>
      <c r="R12" s="45"/>
      <c r="S12" s="45"/>
      <c r="T12" s="45"/>
      <c r="U12" s="115"/>
      <c r="V12" s="46"/>
      <c r="W12" s="44"/>
      <c r="X12" s="47"/>
      <c r="Y12" s="45"/>
      <c r="Z12" s="45" t="s">
        <v>28</v>
      </c>
      <c r="AA12" s="45"/>
      <c r="AB12" s="48"/>
      <c r="AC12" s="46"/>
      <c r="AD12" s="44"/>
      <c r="AE12" s="45"/>
      <c r="AF12" s="177" t="s">
        <v>28</v>
      </c>
      <c r="AG12" s="45"/>
      <c r="AH12" s="45"/>
      <c r="AI12" s="176"/>
      <c r="AJ12" s="46"/>
      <c r="AK12" s="189"/>
      <c r="AL12" s="188"/>
      <c r="AM12" s="188"/>
      <c r="AN12" s="188"/>
      <c r="AO12" s="188"/>
      <c r="AP12" s="185"/>
      <c r="AQ12" s="224"/>
      <c r="AR12" s="173"/>
    </row>
    <row r="13" spans="1:44" ht="30" customHeight="1" x14ac:dyDescent="0.15">
      <c r="A13" s="97" t="s">
        <v>29</v>
      </c>
      <c r="B13" s="49" t="s">
        <v>16</v>
      </c>
      <c r="C13" s="50" t="s">
        <v>16</v>
      </c>
      <c r="D13" s="51" t="s">
        <v>5</v>
      </c>
      <c r="E13" s="51" t="s">
        <v>5</v>
      </c>
      <c r="F13" s="50" t="s">
        <v>27</v>
      </c>
      <c r="G13" s="62" t="s">
        <v>27</v>
      </c>
      <c r="H13" s="53" t="s">
        <v>27</v>
      </c>
      <c r="I13" s="49" t="s">
        <v>27</v>
      </c>
      <c r="J13" s="50" t="s">
        <v>16</v>
      </c>
      <c r="K13" s="51" t="s">
        <v>5</v>
      </c>
      <c r="L13" s="50" t="s">
        <v>5</v>
      </c>
      <c r="M13" s="50" t="s">
        <v>27</v>
      </c>
      <c r="N13" s="62" t="s">
        <v>27</v>
      </c>
      <c r="O13" s="53" t="s">
        <v>27</v>
      </c>
      <c r="P13" s="49" t="s">
        <v>27</v>
      </c>
      <c r="Q13" s="51" t="s">
        <v>5</v>
      </c>
      <c r="R13" s="61" t="s">
        <v>27</v>
      </c>
      <c r="S13" s="61" t="s">
        <v>16</v>
      </c>
      <c r="T13" s="50" t="s">
        <v>27</v>
      </c>
      <c r="U13" s="121" t="s">
        <v>20</v>
      </c>
      <c r="V13" s="53" t="s">
        <v>5</v>
      </c>
      <c r="W13" s="63" t="s">
        <v>5</v>
      </c>
      <c r="X13" s="50" t="s">
        <v>19</v>
      </c>
      <c r="Y13" s="64" t="s">
        <v>27</v>
      </c>
      <c r="Z13" s="61" t="s">
        <v>27</v>
      </c>
      <c r="AA13" s="52" t="s">
        <v>27</v>
      </c>
      <c r="AB13" s="61" t="s">
        <v>5</v>
      </c>
      <c r="AC13" s="56" t="s">
        <v>27</v>
      </c>
      <c r="AD13" s="49" t="s">
        <v>27</v>
      </c>
      <c r="AE13" s="50" t="s">
        <v>16</v>
      </c>
      <c r="AF13" s="51" t="s">
        <v>5</v>
      </c>
      <c r="AG13" s="51" t="s">
        <v>5</v>
      </c>
      <c r="AH13" s="50" t="s">
        <v>27</v>
      </c>
      <c r="AI13" s="62" t="s">
        <v>16</v>
      </c>
      <c r="AJ13" s="53" t="s">
        <v>16</v>
      </c>
      <c r="AK13" s="189" cm="1">
        <f t="array" ref="AK13">SUMPRODUCT(--(MONTH($B4:$AJ4)=6), --($B13:$AJ13="4/12"))</f>
        <v>0</v>
      </c>
      <c r="AL13" s="188" cm="1">
        <f t="array" ref="AL13">SUMPRODUCT(--(MONTH($B4:$AJ4)=6), --($B13:$AJ13="4:30 / 12:30"))</f>
        <v>15</v>
      </c>
      <c r="AM13" s="188" cm="1">
        <f t="array" ref="AM13">SUMPRODUCT(--(MONTH($B4:$AJ4)=6), --($B13:$AJ13="5/1"))</f>
        <v>0</v>
      </c>
      <c r="AN13" s="188" cm="1">
        <f t="array" ref="AN13">SUMPRODUCT(--(MONTH($B4:$AJ4)=6), --($B13:$AJ13="5:30 / 1:30"))</f>
        <v>0</v>
      </c>
      <c r="AO13" s="188" cm="1">
        <f t="array" ref="AO13">SUMPRODUCT(--(MONTH($B4:$AJ4)=6), --($B13:$AJ13="6/2"))</f>
        <v>0</v>
      </c>
      <c r="AP13" s="185" cm="1">
        <f t="array" ref="AP13">SUMPRODUCT(--(MONTH($B4:$AJ4)=6), --($B13:$AJ13="10/6"))</f>
        <v>4</v>
      </c>
      <c r="AQ13" s="224">
        <f t="shared" ref="AQ13" si="8">SUM(AK13:AN14)</f>
        <v>15</v>
      </c>
    </row>
    <row r="14" spans="1:44" s="4" customFormat="1" ht="12" customHeight="1" x14ac:dyDescent="0.15">
      <c r="A14" s="259">
        <v>891149</v>
      </c>
      <c r="B14" s="44"/>
      <c r="C14" s="45"/>
      <c r="D14" s="179"/>
      <c r="E14" s="65"/>
      <c r="F14" s="45"/>
      <c r="G14" s="178" t="s">
        <v>28</v>
      </c>
      <c r="H14" s="46"/>
      <c r="I14" s="44"/>
      <c r="J14" s="45"/>
      <c r="K14" s="179"/>
      <c r="L14" s="65"/>
      <c r="M14" s="184" t="s">
        <v>28</v>
      </c>
      <c r="N14" s="178"/>
      <c r="O14" s="46"/>
      <c r="P14" s="44"/>
      <c r="Q14" s="177"/>
      <c r="R14" s="65"/>
      <c r="S14" s="65"/>
      <c r="T14" s="45"/>
      <c r="U14" s="118" t="s">
        <v>24</v>
      </c>
      <c r="V14" s="46" t="s">
        <v>24</v>
      </c>
      <c r="W14" s="44" t="s">
        <v>24</v>
      </c>
      <c r="X14" s="48" t="s">
        <v>24</v>
      </c>
      <c r="Y14" s="65"/>
      <c r="Z14" s="65"/>
      <c r="AA14" s="48"/>
      <c r="AB14" s="65"/>
      <c r="AC14" s="46" t="s">
        <v>39</v>
      </c>
      <c r="AD14" s="44" t="s">
        <v>39</v>
      </c>
      <c r="AE14" s="45"/>
      <c r="AF14" s="179"/>
      <c r="AG14" s="65"/>
      <c r="AH14" s="45" t="s">
        <v>28</v>
      </c>
      <c r="AI14" s="178"/>
      <c r="AJ14" s="46"/>
      <c r="AK14" s="189"/>
      <c r="AL14" s="188"/>
      <c r="AM14" s="188"/>
      <c r="AN14" s="188"/>
      <c r="AO14" s="188"/>
      <c r="AP14" s="185"/>
      <c r="AQ14" s="224"/>
      <c r="AR14" s="173"/>
    </row>
    <row r="15" spans="1:44" ht="30" customHeight="1" x14ac:dyDescent="0.15">
      <c r="A15" s="97" t="s">
        <v>30</v>
      </c>
      <c r="B15" s="49" t="s">
        <v>27</v>
      </c>
      <c r="C15" s="61" t="s">
        <v>5</v>
      </c>
      <c r="D15" s="64" t="s">
        <v>27</v>
      </c>
      <c r="E15" s="61" t="s">
        <v>27</v>
      </c>
      <c r="F15" s="50" t="s">
        <v>16</v>
      </c>
      <c r="G15" s="52" t="s">
        <v>16</v>
      </c>
      <c r="H15" s="53" t="s">
        <v>5</v>
      </c>
      <c r="I15" s="63" t="s">
        <v>5</v>
      </c>
      <c r="J15" s="50" t="s">
        <v>27</v>
      </c>
      <c r="K15" s="51" t="s">
        <v>16</v>
      </c>
      <c r="L15" s="64" t="s">
        <v>16</v>
      </c>
      <c r="M15" s="50" t="s">
        <v>16</v>
      </c>
      <c r="N15" s="52" t="s">
        <v>19</v>
      </c>
      <c r="O15" s="53" t="s">
        <v>5</v>
      </c>
      <c r="P15" s="49" t="s">
        <v>5</v>
      </c>
      <c r="Q15" s="50" t="s">
        <v>9</v>
      </c>
      <c r="R15" s="50" t="s">
        <v>9</v>
      </c>
      <c r="S15" s="50" t="s">
        <v>9</v>
      </c>
      <c r="T15" s="50" t="s">
        <v>9</v>
      </c>
      <c r="U15" s="109" t="s">
        <v>20</v>
      </c>
      <c r="V15" s="56" t="s">
        <v>5</v>
      </c>
      <c r="W15" s="63" t="s">
        <v>5</v>
      </c>
      <c r="X15" s="61" t="s">
        <v>9</v>
      </c>
      <c r="Y15" s="64" t="s">
        <v>9</v>
      </c>
      <c r="Z15" s="52" t="s">
        <v>9</v>
      </c>
      <c r="AA15" s="50" t="s">
        <v>9</v>
      </c>
      <c r="AB15" s="51" t="s">
        <v>9</v>
      </c>
      <c r="AC15" s="67" t="s">
        <v>5</v>
      </c>
      <c r="AD15" s="64" t="s">
        <v>5</v>
      </c>
      <c r="AE15" s="61" t="s">
        <v>9</v>
      </c>
      <c r="AF15" s="64" t="s">
        <v>9</v>
      </c>
      <c r="AG15" s="61" t="s">
        <v>9</v>
      </c>
      <c r="AH15" s="50" t="s">
        <v>9</v>
      </c>
      <c r="AI15" s="52" t="s">
        <v>9</v>
      </c>
      <c r="AJ15" s="53" t="s">
        <v>5</v>
      </c>
      <c r="AK15" s="189" cm="1">
        <f t="array" ref="AK15">SUMPRODUCT(--(MONTH($B4:$AJ4)=6), --($B15:$AJ15="4/12"))</f>
        <v>0</v>
      </c>
      <c r="AL15" s="188" cm="1">
        <f t="array" ref="AL15">SUMPRODUCT(--(MONTH($B4:$AJ4)=6), --($B15:$AJ15="4:30 / 12:30"))</f>
        <v>3</v>
      </c>
      <c r="AM15" s="188" cm="1">
        <f t="array" ref="AM15">SUMPRODUCT(--(MONTH($B4:$AJ4)=6), --($B15:$AJ15="5/1"))</f>
        <v>0</v>
      </c>
      <c r="AN15" s="188" cm="1">
        <f t="array" ref="AN15">SUMPRODUCT(--(MONTH($B4:$AJ4)=6), --($B15:$AJ15="5:30 / 1:30"))</f>
        <v>0</v>
      </c>
      <c r="AO15" s="188" cm="1">
        <f t="array" ref="AO15">SUMPRODUCT(--(MONTH($B4:$AJ4)=6), --($B15:$AJ15="6/2"))</f>
        <v>0</v>
      </c>
      <c r="AP15" s="185" cm="1">
        <f t="array" ref="AP15">SUMPRODUCT(--(MONTH($B4:$AJ4)=6), --($B15:$AJ15="10/6"))</f>
        <v>5</v>
      </c>
      <c r="AQ15" s="224">
        <f t="shared" ref="AQ15" si="9">SUM(AK15:AN16)</f>
        <v>3</v>
      </c>
    </row>
    <row r="16" spans="1:44" s="4" customFormat="1" ht="12" customHeight="1" x14ac:dyDescent="0.15">
      <c r="A16" s="258">
        <v>891945</v>
      </c>
      <c r="B16" s="44"/>
      <c r="C16" s="65"/>
      <c r="D16" s="179"/>
      <c r="E16" s="45" t="s">
        <v>28</v>
      </c>
      <c r="F16" s="45"/>
      <c r="G16" s="176"/>
      <c r="H16" s="46"/>
      <c r="I16" s="68"/>
      <c r="J16" s="45"/>
      <c r="K16" s="177"/>
      <c r="L16" s="45"/>
      <c r="M16" s="45"/>
      <c r="N16" s="154"/>
      <c r="O16" s="46"/>
      <c r="P16" s="44"/>
      <c r="Q16" s="179"/>
      <c r="R16" s="65"/>
      <c r="S16" s="48"/>
      <c r="T16" s="48"/>
      <c r="U16" s="115"/>
      <c r="V16" s="46"/>
      <c r="W16" s="44"/>
      <c r="X16" s="179"/>
      <c r="Y16" s="65"/>
      <c r="Z16" s="45"/>
      <c r="AA16" s="45"/>
      <c r="AB16" s="45"/>
      <c r="AC16" s="46"/>
      <c r="AD16" s="177"/>
      <c r="AE16" s="65"/>
      <c r="AF16" s="179"/>
      <c r="AG16" s="45"/>
      <c r="AH16" s="45"/>
      <c r="AI16" s="176"/>
      <c r="AJ16" s="46"/>
      <c r="AK16" s="189"/>
      <c r="AL16" s="188"/>
      <c r="AM16" s="188"/>
      <c r="AN16" s="188"/>
      <c r="AO16" s="188"/>
      <c r="AP16" s="185"/>
      <c r="AQ16" s="224"/>
      <c r="AR16" s="173"/>
    </row>
    <row r="17" spans="1:44" ht="30" customHeight="1" x14ac:dyDescent="0.15">
      <c r="A17" s="174" t="s">
        <v>31</v>
      </c>
      <c r="B17" s="49" t="s">
        <v>5</v>
      </c>
      <c r="C17" s="50" t="s">
        <v>27</v>
      </c>
      <c r="D17" s="64" t="s">
        <v>16</v>
      </c>
      <c r="E17" s="61" t="s">
        <v>16</v>
      </c>
      <c r="F17" s="64" t="s">
        <v>5</v>
      </c>
      <c r="G17" s="62" t="s">
        <v>27</v>
      </c>
      <c r="H17" s="53" t="s">
        <v>27</v>
      </c>
      <c r="I17" s="63" t="s">
        <v>27</v>
      </c>
      <c r="J17" s="50" t="s">
        <v>5</v>
      </c>
      <c r="K17" s="51" t="s">
        <v>27</v>
      </c>
      <c r="L17" s="64" t="s">
        <v>27</v>
      </c>
      <c r="M17" s="61" t="s">
        <v>27</v>
      </c>
      <c r="N17" s="62" t="s">
        <v>27</v>
      </c>
      <c r="O17" s="53" t="s">
        <v>5</v>
      </c>
      <c r="P17" s="49" t="s">
        <v>5</v>
      </c>
      <c r="Q17" s="51" t="s">
        <v>27</v>
      </c>
      <c r="R17" s="52" t="s">
        <v>16</v>
      </c>
      <c r="S17" s="61" t="s">
        <v>27</v>
      </c>
      <c r="T17" s="64" t="s">
        <v>5</v>
      </c>
      <c r="U17" s="109" t="s">
        <v>16</v>
      </c>
      <c r="V17" s="53" t="s">
        <v>16</v>
      </c>
      <c r="W17" s="49" t="s">
        <v>16</v>
      </c>
      <c r="X17" s="50" t="s">
        <v>27</v>
      </c>
      <c r="Y17" s="51" t="s">
        <v>5</v>
      </c>
      <c r="Z17" s="51" t="s">
        <v>5</v>
      </c>
      <c r="AA17" s="51" t="s">
        <v>27</v>
      </c>
      <c r="AB17" s="51" t="s">
        <v>27</v>
      </c>
      <c r="AC17" s="67" t="s">
        <v>16</v>
      </c>
      <c r="AD17" s="64" t="s">
        <v>16</v>
      </c>
      <c r="AE17" s="50" t="s">
        <v>5</v>
      </c>
      <c r="AF17" s="64" t="s">
        <v>27</v>
      </c>
      <c r="AG17" s="61" t="s">
        <v>27</v>
      </c>
      <c r="AH17" s="61" t="s">
        <v>9</v>
      </c>
      <c r="AI17" s="62" t="s">
        <v>9</v>
      </c>
      <c r="AJ17" s="53" t="s">
        <v>5</v>
      </c>
      <c r="AK17" s="189" cm="1">
        <f t="array" ref="AK17">SUMPRODUCT(--(MONTH($B4:$AJ4)=6), --($B17:$AJ17="4/12"))</f>
        <v>0</v>
      </c>
      <c r="AL17" s="188" cm="1">
        <f t="array" ref="AL17">SUMPRODUCT(--(MONTH($B4:$AJ4)=6), --($B17:$AJ17="4:30 / 12:30"))</f>
        <v>14</v>
      </c>
      <c r="AM17" s="188" cm="1">
        <f t="array" ref="AM17">SUMPRODUCT(--(MONTH($B4:$AJ4)=6), --($B17:$AJ17="5/1"))</f>
        <v>0</v>
      </c>
      <c r="AN17" s="188" cm="1">
        <f t="array" ref="AN17">SUMPRODUCT(--(MONTH($B4:$AJ4)=6), --($B17:$AJ17="5:30 / 1:30"))</f>
        <v>0</v>
      </c>
      <c r="AO17" s="188" cm="1">
        <f t="array" ref="AO17">SUMPRODUCT(--(MONTH($B4:$AJ4)=6), --($B17:$AJ17="6/2"))</f>
        <v>0</v>
      </c>
      <c r="AP17" s="185" cm="1">
        <f t="array" ref="AP17">SUMPRODUCT(--(MONTH($B4:$AJ4)=6), --($B17:$AJ17="10/6"))</f>
        <v>8</v>
      </c>
      <c r="AQ17" s="224">
        <f t="shared" ref="AQ17" si="10">SUM(AK17:AN18)</f>
        <v>14</v>
      </c>
    </row>
    <row r="18" spans="1:44" s="4" customFormat="1" ht="12" customHeight="1" x14ac:dyDescent="0.15">
      <c r="A18" s="258">
        <v>890791</v>
      </c>
      <c r="B18" s="69"/>
      <c r="C18" s="48"/>
      <c r="D18" s="70"/>
      <c r="E18" s="66"/>
      <c r="F18" s="66"/>
      <c r="G18" s="71"/>
      <c r="H18" s="72"/>
      <c r="I18" s="69"/>
      <c r="J18" s="91"/>
      <c r="K18" s="70"/>
      <c r="L18" s="66"/>
      <c r="M18" s="66"/>
      <c r="N18" s="71" t="s">
        <v>28</v>
      </c>
      <c r="O18" s="72"/>
      <c r="P18" s="69"/>
      <c r="Q18" s="47"/>
      <c r="R18" s="66"/>
      <c r="S18" s="66"/>
      <c r="T18" s="65"/>
      <c r="U18" s="118"/>
      <c r="V18" s="72"/>
      <c r="W18" s="69"/>
      <c r="X18" s="47"/>
      <c r="Y18" s="66"/>
      <c r="Z18" s="66"/>
      <c r="AA18" s="66" t="s">
        <v>28</v>
      </c>
      <c r="AB18" s="66"/>
      <c r="AC18" s="46"/>
      <c r="AD18" s="47"/>
      <c r="AE18" s="48"/>
      <c r="AF18" s="70"/>
      <c r="AG18" s="66" t="s">
        <v>28</v>
      </c>
      <c r="AH18" s="66"/>
      <c r="AI18" s="71"/>
      <c r="AJ18" s="72"/>
      <c r="AK18" s="189"/>
      <c r="AL18" s="188"/>
      <c r="AM18" s="188"/>
      <c r="AN18" s="188"/>
      <c r="AO18" s="188"/>
      <c r="AP18" s="185"/>
      <c r="AQ18" s="224"/>
      <c r="AR18" s="173"/>
    </row>
    <row r="19" spans="1:44" s="4" customFormat="1" ht="30" customHeight="1" x14ac:dyDescent="0.15">
      <c r="A19" s="174" t="s">
        <v>32</v>
      </c>
      <c r="B19" s="49" t="s">
        <v>5</v>
      </c>
      <c r="C19" s="50" t="s">
        <v>27</v>
      </c>
      <c r="D19" s="50" t="s">
        <v>27</v>
      </c>
      <c r="E19" s="50" t="s">
        <v>27</v>
      </c>
      <c r="F19" s="61" t="s">
        <v>5</v>
      </c>
      <c r="G19" s="73" t="s">
        <v>27</v>
      </c>
      <c r="H19" s="53" t="s">
        <v>16</v>
      </c>
      <c r="I19" s="49" t="s">
        <v>16</v>
      </c>
      <c r="J19" s="50" t="s">
        <v>27</v>
      </c>
      <c r="K19" s="50" t="s">
        <v>5</v>
      </c>
      <c r="L19" s="50" t="s">
        <v>5</v>
      </c>
      <c r="M19" s="61" t="s">
        <v>27</v>
      </c>
      <c r="N19" s="73" t="s">
        <v>27</v>
      </c>
      <c r="O19" s="53" t="s">
        <v>27</v>
      </c>
      <c r="P19" s="49" t="s">
        <v>27</v>
      </c>
      <c r="Q19" s="50" t="s">
        <v>5</v>
      </c>
      <c r="R19" s="50" t="s">
        <v>5</v>
      </c>
      <c r="S19" s="50" t="s">
        <v>27</v>
      </c>
      <c r="T19" s="64" t="s">
        <v>27</v>
      </c>
      <c r="U19" s="116" t="s">
        <v>27</v>
      </c>
      <c r="V19" s="53" t="s">
        <v>27</v>
      </c>
      <c r="W19" s="49" t="s">
        <v>27</v>
      </c>
      <c r="X19" s="50" t="s">
        <v>5</v>
      </c>
      <c r="Y19" s="50" t="s">
        <v>16</v>
      </c>
      <c r="Z19" s="52" t="s">
        <v>16</v>
      </c>
      <c r="AA19" s="50" t="s">
        <v>27</v>
      </c>
      <c r="AB19" s="64" t="s">
        <v>27</v>
      </c>
      <c r="AC19" s="53" t="s">
        <v>5</v>
      </c>
      <c r="AD19" s="49" t="s">
        <v>5</v>
      </c>
      <c r="AE19" s="50" t="s">
        <v>27</v>
      </c>
      <c r="AF19" s="50" t="s">
        <v>16</v>
      </c>
      <c r="AG19" s="50" t="s">
        <v>16</v>
      </c>
      <c r="AH19" s="61" t="s">
        <v>5</v>
      </c>
      <c r="AI19" s="73" t="s">
        <v>27</v>
      </c>
      <c r="AJ19" s="53" t="s">
        <v>27</v>
      </c>
      <c r="AK19" s="189" cm="1">
        <f t="array" ref="AK19">SUMPRODUCT(--(MONTH($B4:$AJ4)=6), --($B19:$AJ19="4/12"))</f>
        <v>0</v>
      </c>
      <c r="AL19" s="188" cm="1">
        <f t="array" ref="AL19">SUMPRODUCT(--(MONTH($B4:$AJ4)=6), --($B19:$AJ19="4:30 / 12:30"))</f>
        <v>17</v>
      </c>
      <c r="AM19" s="188" cm="1">
        <f t="array" ref="AM19">SUMPRODUCT(--(MONTH($B4:$AJ4)=6), --($B19:$AJ19="5/1"))</f>
        <v>0</v>
      </c>
      <c r="AN19" s="188" cm="1">
        <f t="array" ref="AN19">SUMPRODUCT(--(MONTH($B4:$AJ4)=6), --($B19:$AJ19="5:30 / 1:30"))</f>
        <v>0</v>
      </c>
      <c r="AO19" s="188" cm="1">
        <f t="array" ref="AO19">SUMPRODUCT(--(MONTH($B4:$AJ4)=6), --($B19:$AJ19="6/2"))</f>
        <v>0</v>
      </c>
      <c r="AP19" s="185" cm="1">
        <f t="array" ref="AP19">SUMPRODUCT(--(MONTH($B4:$AJ4)=6), --($B19:$AJ19="10/6"))</f>
        <v>5</v>
      </c>
      <c r="AQ19" s="224">
        <f t="shared" ref="AQ19" si="11">SUM(AK19:AN20)</f>
        <v>17</v>
      </c>
      <c r="AR19" s="173"/>
    </row>
    <row r="20" spans="1:44" s="4" customFormat="1" ht="12" customHeight="1" x14ac:dyDescent="0.15">
      <c r="A20" s="258">
        <v>891260</v>
      </c>
      <c r="B20" s="69"/>
      <c r="C20" s="48"/>
      <c r="D20" s="47" t="s">
        <v>28</v>
      </c>
      <c r="E20" s="48"/>
      <c r="F20" s="70"/>
      <c r="G20" s="74"/>
      <c r="H20" s="72"/>
      <c r="I20" s="69"/>
      <c r="J20" s="48" t="s">
        <v>28</v>
      </c>
      <c r="K20" s="47"/>
      <c r="L20" s="48"/>
      <c r="M20" s="70"/>
      <c r="N20" s="74"/>
      <c r="O20" s="72"/>
      <c r="P20" s="69"/>
      <c r="Q20" s="75"/>
      <c r="R20" s="48"/>
      <c r="S20" s="48"/>
      <c r="T20" s="70"/>
      <c r="U20" s="113"/>
      <c r="V20" s="72"/>
      <c r="W20" s="69"/>
      <c r="X20" s="75"/>
      <c r="Y20" s="48"/>
      <c r="Z20" s="48"/>
      <c r="AA20" s="70"/>
      <c r="AB20" s="70" t="s">
        <v>28</v>
      </c>
      <c r="AC20" s="72"/>
      <c r="AD20" s="69"/>
      <c r="AE20" s="136"/>
      <c r="AF20" s="47"/>
      <c r="AG20" s="48"/>
      <c r="AH20" s="70"/>
      <c r="AI20" s="74"/>
      <c r="AJ20" s="72"/>
      <c r="AK20" s="189"/>
      <c r="AL20" s="188"/>
      <c r="AM20" s="188"/>
      <c r="AN20" s="188"/>
      <c r="AO20" s="188"/>
      <c r="AP20" s="185"/>
      <c r="AQ20" s="224"/>
      <c r="AR20" s="173"/>
    </row>
    <row r="21" spans="1:44" ht="20" customHeight="1" x14ac:dyDescent="0.15">
      <c r="A21" s="183" t="s">
        <v>34</v>
      </c>
      <c r="B21" s="49" t="s">
        <v>5</v>
      </c>
      <c r="C21" s="50" t="s">
        <v>9</v>
      </c>
      <c r="D21" s="51" t="s">
        <v>9</v>
      </c>
      <c r="E21" s="50" t="s">
        <v>9</v>
      </c>
      <c r="F21" s="51" t="s">
        <v>9</v>
      </c>
      <c r="G21" s="54" t="s">
        <v>9</v>
      </c>
      <c r="H21" s="53" t="s">
        <v>5</v>
      </c>
      <c r="I21" s="49" t="s">
        <v>5</v>
      </c>
      <c r="J21" s="50" t="s">
        <v>9</v>
      </c>
      <c r="K21" s="51" t="s">
        <v>9</v>
      </c>
      <c r="L21" s="50" t="s">
        <v>9</v>
      </c>
      <c r="M21" s="51" t="s">
        <v>9</v>
      </c>
      <c r="N21" s="54" t="s">
        <v>9</v>
      </c>
      <c r="O21" s="53" t="s">
        <v>5</v>
      </c>
      <c r="P21" s="49" t="s">
        <v>5</v>
      </c>
      <c r="Q21" s="54" t="s">
        <v>9</v>
      </c>
      <c r="R21" s="50" t="s">
        <v>9</v>
      </c>
      <c r="S21" s="50" t="s">
        <v>9</v>
      </c>
      <c r="T21" s="51" t="s">
        <v>9</v>
      </c>
      <c r="U21" s="111" t="s">
        <v>20</v>
      </c>
      <c r="V21" s="53" t="s">
        <v>5</v>
      </c>
      <c r="W21" s="49" t="s">
        <v>5</v>
      </c>
      <c r="X21" s="54" t="s">
        <v>13</v>
      </c>
      <c r="Y21" s="50" t="s">
        <v>13</v>
      </c>
      <c r="Z21" s="50" t="s">
        <v>13</v>
      </c>
      <c r="AA21" s="51" t="s">
        <v>5</v>
      </c>
      <c r="AB21" s="51" t="s">
        <v>13</v>
      </c>
      <c r="AC21" s="53" t="s">
        <v>13</v>
      </c>
      <c r="AD21" s="49" t="s">
        <v>13</v>
      </c>
      <c r="AE21" s="50" t="s">
        <v>5</v>
      </c>
      <c r="AF21" s="51" t="s">
        <v>13</v>
      </c>
      <c r="AG21" s="50" t="s">
        <v>13</v>
      </c>
      <c r="AH21" s="51" t="s">
        <v>13</v>
      </c>
      <c r="AI21" s="54" t="s">
        <v>13</v>
      </c>
      <c r="AJ21" s="53" t="s">
        <v>5</v>
      </c>
      <c r="AK21" s="189" cm="1">
        <f t="array" ref="AK21">SUMPRODUCT(--(MONTH($B4:$AJ4)=6), --($B21:$AJ21="4/12"))</f>
        <v>0</v>
      </c>
      <c r="AL21" s="188" cm="1">
        <f t="array" ref="AL21">SUMPRODUCT(--(MONTH($B4:$AJ4)=6), --($B21:$AJ21="4:30 / 12:30"))</f>
        <v>0</v>
      </c>
      <c r="AM21" s="188" cm="1">
        <f t="array" ref="AM21">SUMPRODUCT(--(MONTH($B4:$AJ4)=6), --($B21:$AJ21="5/1"))</f>
        <v>7</v>
      </c>
      <c r="AN21" s="188" cm="1">
        <f t="array" ref="AN21">SUMPRODUCT(--(MONTH($B4:$AJ4)=6), --($B21:$AJ21="5:30 / 1:30"))</f>
        <v>0</v>
      </c>
      <c r="AO21" s="188" cm="1">
        <f t="array" ref="AO21">SUMPRODUCT(--(MONTH($B4:$AJ4)=6), --($B21:$AJ21="6/2"))</f>
        <v>0</v>
      </c>
      <c r="AP21" s="186" cm="1">
        <f t="array" ref="AP21">SUMPRODUCT(--(MONTH($B4:$AJ4)=6), --($B21:$AJ21="10/6"))</f>
        <v>0</v>
      </c>
      <c r="AQ21" s="224">
        <f t="shared" ref="AQ21" si="12">SUM(AK21:AN23)</f>
        <v>7</v>
      </c>
    </row>
    <row r="22" spans="1:44" ht="15" customHeight="1" x14ac:dyDescent="0.15">
      <c r="A22" s="258">
        <v>890232</v>
      </c>
      <c r="B22" s="39"/>
      <c r="C22" s="40"/>
      <c r="D22" s="41"/>
      <c r="E22" s="40"/>
      <c r="F22" s="41"/>
      <c r="G22" s="257"/>
      <c r="H22" s="43"/>
      <c r="I22" s="39"/>
      <c r="J22" s="40"/>
      <c r="K22" s="41"/>
      <c r="L22" s="40"/>
      <c r="M22" s="41"/>
      <c r="N22" s="257"/>
      <c r="O22" s="43"/>
      <c r="P22" s="39"/>
      <c r="Q22" s="257"/>
      <c r="R22" s="40"/>
      <c r="S22" s="40"/>
      <c r="T22" s="41"/>
      <c r="U22" s="110"/>
      <c r="V22" s="43"/>
      <c r="W22" s="39"/>
      <c r="X22" s="257"/>
      <c r="Y22" s="40"/>
      <c r="Z22" s="40"/>
      <c r="AA22" s="41"/>
      <c r="AB22" s="41"/>
      <c r="AC22" s="43"/>
      <c r="AD22" s="39"/>
      <c r="AE22" s="40"/>
      <c r="AF22" s="41"/>
      <c r="AG22" s="40"/>
      <c r="AH22" s="41"/>
      <c r="AI22" s="257"/>
      <c r="AJ22" s="43"/>
      <c r="AK22" s="234"/>
      <c r="AL22" s="235"/>
      <c r="AM22" s="235"/>
      <c r="AN22" s="235"/>
      <c r="AO22" s="235"/>
      <c r="AP22" s="236"/>
      <c r="AQ22" s="229"/>
    </row>
    <row r="23" spans="1:44" ht="24" customHeight="1" thickBot="1" x14ac:dyDescent="0.2">
      <c r="A23" s="182" t="s">
        <v>40</v>
      </c>
      <c r="B23" s="22"/>
      <c r="C23" s="23"/>
      <c r="D23" s="23"/>
      <c r="E23" s="23"/>
      <c r="F23" s="23"/>
      <c r="G23" s="23"/>
      <c r="H23" s="24"/>
      <c r="I23" s="22"/>
      <c r="J23" s="23"/>
      <c r="K23" s="23"/>
      <c r="L23" s="23"/>
      <c r="M23" s="23"/>
      <c r="N23" s="23"/>
      <c r="O23" s="24"/>
      <c r="P23" s="25"/>
      <c r="Q23" s="160" t="s">
        <v>16</v>
      </c>
      <c r="R23" s="23"/>
      <c r="S23" s="23"/>
      <c r="T23" s="160" t="s">
        <v>16</v>
      </c>
      <c r="U23" s="112"/>
      <c r="V23" s="24" t="s">
        <v>24</v>
      </c>
      <c r="W23" s="22" t="s">
        <v>24</v>
      </c>
      <c r="X23" s="23"/>
      <c r="Y23" s="21"/>
      <c r="Z23" s="21"/>
      <c r="AA23" s="21"/>
      <c r="AB23" s="21"/>
      <c r="AC23" s="24"/>
      <c r="AD23" s="22"/>
      <c r="AE23" s="23"/>
      <c r="AF23" s="23"/>
      <c r="AG23" s="23"/>
      <c r="AH23" s="23"/>
      <c r="AI23" s="23"/>
      <c r="AJ23" s="24"/>
      <c r="AK23" s="190"/>
      <c r="AL23" s="191"/>
      <c r="AM23" s="191"/>
      <c r="AN23" s="191"/>
      <c r="AO23" s="191"/>
      <c r="AP23" s="187"/>
      <c r="AQ23" s="225"/>
    </row>
    <row r="24" spans="1:44" ht="50.25" customHeight="1" thickTop="1" x14ac:dyDescent="0.15">
      <c r="A24" s="106" t="s">
        <v>35</v>
      </c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</row>
    <row r="25" spans="1:44" x14ac:dyDescent="0.15">
      <c r="A25" s="17" t="s">
        <v>36</v>
      </c>
      <c r="N25" s="198"/>
      <c r="O25" s="199"/>
      <c r="P25" s="199"/>
      <c r="U25" s="200"/>
      <c r="V25" s="200"/>
      <c r="W25" s="201"/>
      <c r="X25" s="202"/>
      <c r="Y25" s="202"/>
      <c r="Z25" s="202"/>
      <c r="AA25" s="202"/>
      <c r="AB25" s="202"/>
      <c r="AC25" s="202"/>
    </row>
    <row r="26" spans="1:44" ht="15" customHeight="1" x14ac:dyDescent="0.15">
      <c r="A26" s="17" t="s">
        <v>37</v>
      </c>
    </row>
    <row r="28" spans="1:44" x14ac:dyDescent="0.15">
      <c r="A28" s="5" t="s">
        <v>11</v>
      </c>
      <c r="B28" s="8">
        <f>COUNTIF(B5:B21,"4/12")</f>
        <v>1</v>
      </c>
      <c r="C28" s="8">
        <f t="shared" ref="C28:AJ28" si="13">COUNTIF(C5:C21,"4/12")</f>
        <v>1</v>
      </c>
      <c r="D28" s="8">
        <f t="shared" si="13"/>
        <v>1</v>
      </c>
      <c r="E28" s="8">
        <f t="shared" si="13"/>
        <v>1</v>
      </c>
      <c r="F28" s="8">
        <f t="shared" si="13"/>
        <v>1</v>
      </c>
      <c r="G28" s="8">
        <f t="shared" si="13"/>
        <v>1</v>
      </c>
      <c r="H28" s="8">
        <f t="shared" si="13"/>
        <v>1</v>
      </c>
      <c r="I28" s="8">
        <f t="shared" si="13"/>
        <v>1</v>
      </c>
      <c r="J28" s="8">
        <f t="shared" si="13"/>
        <v>1</v>
      </c>
      <c r="K28" s="8">
        <f t="shared" si="13"/>
        <v>1</v>
      </c>
      <c r="L28" s="8">
        <f t="shared" si="13"/>
        <v>1</v>
      </c>
      <c r="M28" s="8">
        <f t="shared" si="13"/>
        <v>1</v>
      </c>
      <c r="N28" s="8">
        <f t="shared" si="13"/>
        <v>1</v>
      </c>
      <c r="O28" s="8">
        <f t="shared" si="13"/>
        <v>1</v>
      </c>
      <c r="P28" s="8">
        <f t="shared" si="13"/>
        <v>1</v>
      </c>
      <c r="Q28" s="8">
        <f t="shared" si="13"/>
        <v>1</v>
      </c>
      <c r="R28" s="8">
        <f t="shared" si="13"/>
        <v>1</v>
      </c>
      <c r="S28" s="8">
        <f t="shared" si="13"/>
        <v>1</v>
      </c>
      <c r="T28" s="8">
        <f t="shared" si="13"/>
        <v>1</v>
      </c>
      <c r="U28" s="8">
        <f t="shared" si="13"/>
        <v>1</v>
      </c>
      <c r="V28" s="8">
        <f t="shared" si="13"/>
        <v>1</v>
      </c>
      <c r="W28" s="8">
        <f t="shared" si="13"/>
        <v>1</v>
      </c>
      <c r="X28" s="8">
        <f t="shared" si="13"/>
        <v>1</v>
      </c>
      <c r="Y28" s="8">
        <f t="shared" si="13"/>
        <v>1</v>
      </c>
      <c r="Z28" s="8">
        <f t="shared" si="13"/>
        <v>1</v>
      </c>
      <c r="AA28" s="8">
        <f t="shared" si="13"/>
        <v>1</v>
      </c>
      <c r="AB28" s="8">
        <f t="shared" si="13"/>
        <v>1</v>
      </c>
      <c r="AC28" s="8">
        <f t="shared" si="13"/>
        <v>1</v>
      </c>
      <c r="AD28" s="8">
        <f t="shared" si="13"/>
        <v>1</v>
      </c>
      <c r="AE28" s="8">
        <f t="shared" si="13"/>
        <v>1</v>
      </c>
      <c r="AF28" s="8">
        <f t="shared" si="13"/>
        <v>1</v>
      </c>
      <c r="AG28" s="8">
        <f t="shared" si="13"/>
        <v>1</v>
      </c>
      <c r="AH28" s="8">
        <f t="shared" si="13"/>
        <v>1</v>
      </c>
      <c r="AI28" s="8">
        <f t="shared" si="13"/>
        <v>1</v>
      </c>
      <c r="AJ28" s="8">
        <f t="shared" si="13"/>
        <v>1</v>
      </c>
    </row>
    <row r="29" spans="1:44" ht="13" thickBot="1" x14ac:dyDescent="0.2">
      <c r="A29" s="5" t="s">
        <v>27</v>
      </c>
      <c r="B29" s="26">
        <f>COUNTIF(B5:B21,"4:30 / 12:30")</f>
        <v>2</v>
      </c>
      <c r="C29" s="26">
        <f t="shared" ref="C29:AJ29" si="14">COUNTIF(C5:C21,"4:30 / 12:30")</f>
        <v>2</v>
      </c>
      <c r="D29" s="26">
        <f t="shared" si="14"/>
        <v>3</v>
      </c>
      <c r="E29" s="26">
        <f t="shared" si="14"/>
        <v>3</v>
      </c>
      <c r="F29" s="26">
        <f t="shared" si="14"/>
        <v>2</v>
      </c>
      <c r="G29" s="26">
        <f t="shared" si="14"/>
        <v>3</v>
      </c>
      <c r="H29" s="26">
        <f t="shared" si="14"/>
        <v>2</v>
      </c>
      <c r="I29" s="26">
        <f t="shared" si="14"/>
        <v>2</v>
      </c>
      <c r="J29" s="26">
        <f t="shared" si="14"/>
        <v>3</v>
      </c>
      <c r="K29" s="26">
        <f t="shared" si="14"/>
        <v>2</v>
      </c>
      <c r="L29" s="26">
        <f t="shared" si="14"/>
        <v>2</v>
      </c>
      <c r="M29" s="26">
        <f t="shared" si="14"/>
        <v>3</v>
      </c>
      <c r="N29" s="26">
        <f t="shared" si="14"/>
        <v>3</v>
      </c>
      <c r="O29" s="26">
        <f t="shared" si="14"/>
        <v>2</v>
      </c>
      <c r="P29" s="26">
        <f t="shared" si="14"/>
        <v>2</v>
      </c>
      <c r="Q29" s="26">
        <f t="shared" si="14"/>
        <v>2</v>
      </c>
      <c r="R29" s="26">
        <f t="shared" si="14"/>
        <v>2</v>
      </c>
      <c r="S29" s="26">
        <f t="shared" si="14"/>
        <v>2</v>
      </c>
      <c r="T29" s="26">
        <f t="shared" si="14"/>
        <v>2</v>
      </c>
      <c r="U29" s="26">
        <f t="shared" si="14"/>
        <v>2</v>
      </c>
      <c r="V29" s="26">
        <f t="shared" si="14"/>
        <v>2</v>
      </c>
      <c r="W29" s="26">
        <f t="shared" si="14"/>
        <v>2</v>
      </c>
      <c r="X29" s="26">
        <f t="shared" si="14"/>
        <v>1</v>
      </c>
      <c r="Y29" s="26">
        <f t="shared" si="14"/>
        <v>1</v>
      </c>
      <c r="Z29" s="26">
        <f t="shared" si="14"/>
        <v>2</v>
      </c>
      <c r="AA29" s="26">
        <f t="shared" si="14"/>
        <v>3</v>
      </c>
      <c r="AB29" s="26">
        <f t="shared" si="14"/>
        <v>2</v>
      </c>
      <c r="AC29" s="26">
        <f t="shared" si="14"/>
        <v>1</v>
      </c>
      <c r="AD29" s="26">
        <f t="shared" si="14"/>
        <v>1</v>
      </c>
      <c r="AE29" s="26">
        <f t="shared" si="14"/>
        <v>2</v>
      </c>
      <c r="AF29" s="26">
        <f t="shared" si="14"/>
        <v>2</v>
      </c>
      <c r="AG29" s="26">
        <f t="shared" si="14"/>
        <v>2</v>
      </c>
      <c r="AH29" s="26">
        <f t="shared" si="14"/>
        <v>1</v>
      </c>
      <c r="AI29" s="26">
        <f t="shared" si="14"/>
        <v>1</v>
      </c>
      <c r="AJ29" s="26">
        <f t="shared" si="14"/>
        <v>2</v>
      </c>
    </row>
    <row r="30" spans="1:44" ht="13" thickTop="1" x14ac:dyDescent="0.15">
      <c r="A30" s="27" t="s">
        <v>13</v>
      </c>
      <c r="B30" s="8">
        <f t="shared" ref="B30:AJ30" si="15">COUNTIF(B5:B21,"5/1")</f>
        <v>0</v>
      </c>
      <c r="C30" s="8">
        <f t="shared" si="15"/>
        <v>0</v>
      </c>
      <c r="D30" s="8">
        <f t="shared" si="15"/>
        <v>0</v>
      </c>
      <c r="E30" s="8">
        <f t="shared" si="15"/>
        <v>0</v>
      </c>
      <c r="F30" s="8">
        <f t="shared" si="15"/>
        <v>1</v>
      </c>
      <c r="G30" s="8">
        <f t="shared" si="15"/>
        <v>0</v>
      </c>
      <c r="H30" s="8">
        <f t="shared" si="15"/>
        <v>0</v>
      </c>
      <c r="I30" s="8">
        <f t="shared" si="15"/>
        <v>0</v>
      </c>
      <c r="J30" s="8">
        <f t="shared" si="15"/>
        <v>0</v>
      </c>
      <c r="K30" s="8">
        <f t="shared" si="15"/>
        <v>0</v>
      </c>
      <c r="L30" s="8">
        <f t="shared" si="15"/>
        <v>0</v>
      </c>
      <c r="M30" s="8">
        <f t="shared" si="15"/>
        <v>0</v>
      </c>
      <c r="N30" s="8">
        <f t="shared" si="15"/>
        <v>0</v>
      </c>
      <c r="O30" s="8">
        <f t="shared" si="15"/>
        <v>0</v>
      </c>
      <c r="P30" s="8">
        <f t="shared" si="15"/>
        <v>0</v>
      </c>
      <c r="Q30" s="8">
        <f t="shared" si="15"/>
        <v>0</v>
      </c>
      <c r="R30" s="8">
        <f t="shared" si="15"/>
        <v>0</v>
      </c>
      <c r="S30" s="8">
        <f t="shared" si="15"/>
        <v>0</v>
      </c>
      <c r="T30" s="8">
        <f t="shared" si="15"/>
        <v>0</v>
      </c>
      <c r="U30" s="8">
        <f t="shared" si="15"/>
        <v>0</v>
      </c>
      <c r="V30" s="8">
        <f t="shared" si="15"/>
        <v>0</v>
      </c>
      <c r="W30" s="8">
        <f t="shared" si="15"/>
        <v>0</v>
      </c>
      <c r="X30" s="8">
        <f t="shared" si="15"/>
        <v>1</v>
      </c>
      <c r="Y30" s="8">
        <f t="shared" si="15"/>
        <v>2</v>
      </c>
      <c r="Z30" s="8">
        <f t="shared" si="15"/>
        <v>1</v>
      </c>
      <c r="AA30" s="8">
        <f t="shared" si="15"/>
        <v>0</v>
      </c>
      <c r="AB30" s="8">
        <f t="shared" si="15"/>
        <v>1</v>
      </c>
      <c r="AC30" s="8">
        <f t="shared" si="15"/>
        <v>1</v>
      </c>
      <c r="AD30" s="8">
        <f t="shared" si="15"/>
        <v>1</v>
      </c>
      <c r="AE30" s="8">
        <f t="shared" si="15"/>
        <v>0</v>
      </c>
      <c r="AF30" s="8">
        <f t="shared" si="15"/>
        <v>1</v>
      </c>
      <c r="AG30" s="8">
        <f t="shared" si="15"/>
        <v>1</v>
      </c>
      <c r="AH30" s="8">
        <f t="shared" si="15"/>
        <v>2</v>
      </c>
      <c r="AI30" s="8">
        <f t="shared" si="15"/>
        <v>1</v>
      </c>
      <c r="AJ30" s="8">
        <f t="shared" si="15"/>
        <v>0</v>
      </c>
    </row>
    <row r="31" spans="1:44" ht="13" thickBot="1" x14ac:dyDescent="0.2">
      <c r="A31" s="28" t="s">
        <v>38</v>
      </c>
      <c r="B31" s="26">
        <f>COUNTIF(B6:B24,"5:30 / 1:30")</f>
        <v>0</v>
      </c>
      <c r="C31" s="26">
        <f t="shared" ref="C31:AJ31" si="16">COUNTIF(C6:C24,"5:30 / 1:30")</f>
        <v>0</v>
      </c>
      <c r="D31" s="26">
        <f t="shared" si="16"/>
        <v>0</v>
      </c>
      <c r="E31" s="26">
        <f t="shared" si="16"/>
        <v>0</v>
      </c>
      <c r="F31" s="26">
        <f t="shared" si="16"/>
        <v>0</v>
      </c>
      <c r="G31" s="26">
        <f t="shared" si="16"/>
        <v>0</v>
      </c>
      <c r="H31" s="26">
        <f t="shared" si="16"/>
        <v>0</v>
      </c>
      <c r="I31" s="26">
        <f t="shared" si="16"/>
        <v>0</v>
      </c>
      <c r="J31" s="26">
        <f t="shared" si="16"/>
        <v>0</v>
      </c>
      <c r="K31" s="26">
        <f t="shared" si="16"/>
        <v>0</v>
      </c>
      <c r="L31" s="26">
        <f t="shared" si="16"/>
        <v>0</v>
      </c>
      <c r="M31" s="26">
        <f t="shared" si="16"/>
        <v>0</v>
      </c>
      <c r="N31" s="26">
        <f t="shared" si="16"/>
        <v>0</v>
      </c>
      <c r="O31" s="26">
        <f t="shared" si="16"/>
        <v>0</v>
      </c>
      <c r="P31" s="26">
        <f t="shared" si="16"/>
        <v>0</v>
      </c>
      <c r="Q31" s="26">
        <f t="shared" si="16"/>
        <v>0</v>
      </c>
      <c r="R31" s="26">
        <f t="shared" si="16"/>
        <v>0</v>
      </c>
      <c r="S31" s="26">
        <f t="shared" si="16"/>
        <v>0</v>
      </c>
      <c r="T31" s="26">
        <f t="shared" si="16"/>
        <v>0</v>
      </c>
      <c r="U31" s="26">
        <f t="shared" si="16"/>
        <v>0</v>
      </c>
      <c r="V31" s="26">
        <f t="shared" si="16"/>
        <v>0</v>
      </c>
      <c r="W31" s="26">
        <f t="shared" si="16"/>
        <v>0</v>
      </c>
      <c r="X31" s="26">
        <f t="shared" si="16"/>
        <v>0</v>
      </c>
      <c r="Y31" s="26">
        <f t="shared" si="16"/>
        <v>0</v>
      </c>
      <c r="Z31" s="26">
        <f t="shared" si="16"/>
        <v>0</v>
      </c>
      <c r="AA31" s="26">
        <f t="shared" si="16"/>
        <v>0</v>
      </c>
      <c r="AB31" s="26">
        <f t="shared" si="16"/>
        <v>0</v>
      </c>
      <c r="AC31" s="26">
        <f t="shared" si="16"/>
        <v>0</v>
      </c>
      <c r="AD31" s="26">
        <f t="shared" si="16"/>
        <v>0</v>
      </c>
      <c r="AE31" s="26">
        <f t="shared" si="16"/>
        <v>0</v>
      </c>
      <c r="AF31" s="26">
        <f t="shared" si="16"/>
        <v>0</v>
      </c>
      <c r="AG31" s="26">
        <f t="shared" si="16"/>
        <v>0</v>
      </c>
      <c r="AH31" s="26">
        <f t="shared" si="16"/>
        <v>0</v>
      </c>
      <c r="AI31" s="26">
        <f t="shared" si="16"/>
        <v>0</v>
      </c>
      <c r="AJ31" s="26">
        <f t="shared" si="16"/>
        <v>0</v>
      </c>
    </row>
    <row r="32" spans="1:44" s="8" customFormat="1" ht="13" thickTop="1" x14ac:dyDescent="0.15">
      <c r="A32" s="5" t="s">
        <v>15</v>
      </c>
      <c r="B32" s="8">
        <f t="shared" ref="B32:AJ32" si="17">COUNTIF(B5:B21,"6/2")</f>
        <v>1</v>
      </c>
      <c r="C32" s="8">
        <f t="shared" si="17"/>
        <v>1</v>
      </c>
      <c r="D32" s="8">
        <f t="shared" si="17"/>
        <v>1</v>
      </c>
      <c r="E32" s="8">
        <f t="shared" si="17"/>
        <v>1</v>
      </c>
      <c r="F32" s="8">
        <f t="shared" si="17"/>
        <v>1</v>
      </c>
      <c r="G32" s="8">
        <f t="shared" si="17"/>
        <v>1</v>
      </c>
      <c r="H32" s="8">
        <f t="shared" si="17"/>
        <v>1</v>
      </c>
      <c r="I32" s="8">
        <f t="shared" si="17"/>
        <v>1</v>
      </c>
      <c r="J32" s="8">
        <f t="shared" si="17"/>
        <v>1</v>
      </c>
      <c r="K32" s="8">
        <f t="shared" si="17"/>
        <v>1</v>
      </c>
      <c r="L32" s="8">
        <f t="shared" si="17"/>
        <v>1</v>
      </c>
      <c r="M32" s="8">
        <f t="shared" si="17"/>
        <v>1</v>
      </c>
      <c r="N32" s="8">
        <f t="shared" si="17"/>
        <v>1</v>
      </c>
      <c r="O32" s="8">
        <f t="shared" si="17"/>
        <v>1</v>
      </c>
      <c r="P32" s="8">
        <f t="shared" si="17"/>
        <v>1</v>
      </c>
      <c r="Q32" s="8">
        <f t="shared" si="17"/>
        <v>1</v>
      </c>
      <c r="R32" s="8">
        <f t="shared" si="17"/>
        <v>1</v>
      </c>
      <c r="S32" s="8">
        <f t="shared" si="17"/>
        <v>1</v>
      </c>
      <c r="T32" s="8">
        <f t="shared" si="17"/>
        <v>1</v>
      </c>
      <c r="U32" s="8">
        <f t="shared" si="17"/>
        <v>1</v>
      </c>
      <c r="V32" s="8">
        <f t="shared" si="17"/>
        <v>1</v>
      </c>
      <c r="W32" s="8">
        <f t="shared" si="17"/>
        <v>1</v>
      </c>
      <c r="X32" s="8">
        <f t="shared" si="17"/>
        <v>1</v>
      </c>
      <c r="Y32" s="8">
        <f t="shared" si="17"/>
        <v>1</v>
      </c>
      <c r="Z32" s="8">
        <f t="shared" si="17"/>
        <v>1</v>
      </c>
      <c r="AA32" s="8">
        <f t="shared" si="17"/>
        <v>1</v>
      </c>
      <c r="AB32" s="8">
        <f t="shared" si="17"/>
        <v>1</v>
      </c>
      <c r="AC32" s="8">
        <f t="shared" si="17"/>
        <v>1</v>
      </c>
      <c r="AD32" s="8">
        <f t="shared" si="17"/>
        <v>1</v>
      </c>
      <c r="AE32" s="8">
        <f t="shared" si="17"/>
        <v>1</v>
      </c>
      <c r="AF32" s="8">
        <f t="shared" si="17"/>
        <v>1</v>
      </c>
      <c r="AG32" s="8">
        <f t="shared" si="17"/>
        <v>1</v>
      </c>
      <c r="AH32" s="8">
        <f t="shared" si="17"/>
        <v>1</v>
      </c>
      <c r="AI32" s="8">
        <f t="shared" si="17"/>
        <v>1</v>
      </c>
      <c r="AJ32" s="8">
        <f t="shared" si="17"/>
        <v>1</v>
      </c>
    </row>
    <row r="33" spans="1:36" s="8" customFormat="1" x14ac:dyDescent="0.15">
      <c r="A33" s="5" t="s">
        <v>16</v>
      </c>
      <c r="B33" s="8">
        <f t="shared" ref="B33:AJ33" si="18">COUNTIF(B5:B21,"10/6")</f>
        <v>1</v>
      </c>
      <c r="C33" s="8">
        <f t="shared" si="18"/>
        <v>1</v>
      </c>
      <c r="D33" s="8">
        <f t="shared" si="18"/>
        <v>1</v>
      </c>
      <c r="E33" s="8">
        <f t="shared" si="18"/>
        <v>1</v>
      </c>
      <c r="F33" s="8">
        <f t="shared" si="18"/>
        <v>1</v>
      </c>
      <c r="G33" s="8">
        <f t="shared" si="18"/>
        <v>1</v>
      </c>
      <c r="H33" s="8">
        <f t="shared" si="18"/>
        <v>1</v>
      </c>
      <c r="I33" s="8">
        <f t="shared" si="18"/>
        <v>1</v>
      </c>
      <c r="J33" s="8">
        <f t="shared" si="18"/>
        <v>1</v>
      </c>
      <c r="K33" s="8">
        <f t="shared" si="18"/>
        <v>1</v>
      </c>
      <c r="L33" s="8">
        <f t="shared" si="18"/>
        <v>1</v>
      </c>
      <c r="M33" s="8">
        <f t="shared" si="18"/>
        <v>1</v>
      </c>
      <c r="N33" s="8">
        <f t="shared" si="18"/>
        <v>1</v>
      </c>
      <c r="O33" s="8">
        <f t="shared" si="18"/>
        <v>1</v>
      </c>
      <c r="P33" s="8">
        <f t="shared" si="18"/>
        <v>1</v>
      </c>
      <c r="Q33" s="8">
        <f t="shared" si="18"/>
        <v>0</v>
      </c>
      <c r="R33" s="8">
        <f t="shared" si="18"/>
        <v>1</v>
      </c>
      <c r="S33" s="8">
        <f t="shared" si="18"/>
        <v>1</v>
      </c>
      <c r="T33" s="8">
        <f t="shared" si="18"/>
        <v>0</v>
      </c>
      <c r="U33" s="8">
        <f t="shared" si="18"/>
        <v>1</v>
      </c>
      <c r="V33" s="8">
        <f t="shared" si="18"/>
        <v>1</v>
      </c>
      <c r="W33" s="8">
        <f t="shared" si="18"/>
        <v>1</v>
      </c>
      <c r="X33" s="8">
        <f t="shared" si="18"/>
        <v>1</v>
      </c>
      <c r="Y33" s="8">
        <f t="shared" si="18"/>
        <v>1</v>
      </c>
      <c r="Z33" s="8">
        <f t="shared" si="18"/>
        <v>1</v>
      </c>
      <c r="AA33" s="8">
        <f t="shared" si="18"/>
        <v>1</v>
      </c>
      <c r="AB33" s="8">
        <f t="shared" si="18"/>
        <v>1</v>
      </c>
      <c r="AC33" s="8">
        <f t="shared" si="18"/>
        <v>1</v>
      </c>
      <c r="AD33" s="8">
        <f t="shared" si="18"/>
        <v>1</v>
      </c>
      <c r="AE33" s="8">
        <f t="shared" si="18"/>
        <v>1</v>
      </c>
      <c r="AF33" s="8">
        <f t="shared" si="18"/>
        <v>1</v>
      </c>
      <c r="AG33" s="8">
        <f t="shared" si="18"/>
        <v>1</v>
      </c>
      <c r="AH33" s="8">
        <f t="shared" si="18"/>
        <v>1</v>
      </c>
      <c r="AI33" s="8">
        <f t="shared" si="18"/>
        <v>1</v>
      </c>
      <c r="AJ33" s="8">
        <f t="shared" si="18"/>
        <v>1</v>
      </c>
    </row>
    <row r="34" spans="1:36" s="8" customFormat="1" x14ac:dyDescent="0.15">
      <c r="A34" s="6"/>
    </row>
    <row r="35" spans="1:36" s="8" customFormat="1" x14ac:dyDescent="0.15">
      <c r="A35" s="6"/>
      <c r="B35" s="199"/>
      <c r="C35" s="199"/>
      <c r="D35" s="199"/>
      <c r="E35" s="199"/>
      <c r="F35" s="199"/>
      <c r="G35" s="199"/>
      <c r="H35" s="199"/>
    </row>
    <row r="36" spans="1:36" s="8" customFormat="1" x14ac:dyDescent="0.15">
      <c r="A36" s="6"/>
      <c r="B36" s="199"/>
      <c r="C36" s="199"/>
      <c r="D36" s="199"/>
      <c r="E36" s="199"/>
      <c r="F36" s="199"/>
      <c r="G36" s="199"/>
      <c r="H36" s="199"/>
    </row>
    <row r="37" spans="1:36" s="8" customFormat="1" x14ac:dyDescent="0.15">
      <c r="A37" s="6"/>
      <c r="B37" s="199"/>
      <c r="C37" s="199"/>
      <c r="D37" s="199"/>
      <c r="E37" s="199"/>
      <c r="F37" s="199"/>
      <c r="G37" s="199"/>
      <c r="H37" s="199"/>
    </row>
    <row r="38" spans="1:36" s="8" customFormat="1" x14ac:dyDescent="0.15">
      <c r="A38" s="6"/>
      <c r="B38" s="199"/>
      <c r="C38" s="199"/>
      <c r="D38" s="199"/>
      <c r="E38" s="199"/>
      <c r="F38" s="199"/>
      <c r="G38" s="199"/>
      <c r="H38" s="199"/>
    </row>
    <row r="39" spans="1:36" s="8" customFormat="1" x14ac:dyDescent="0.15">
      <c r="A39" s="6"/>
      <c r="B39" s="199"/>
      <c r="C39" s="199"/>
      <c r="D39" s="199"/>
      <c r="E39" s="199"/>
      <c r="F39" s="199"/>
      <c r="G39" s="199"/>
      <c r="H39" s="199"/>
    </row>
    <row r="40" spans="1:36" s="8" customFormat="1" x14ac:dyDescent="0.15">
      <c r="A40" s="6"/>
      <c r="B40" s="199"/>
      <c r="C40" s="199"/>
      <c r="D40" s="199"/>
      <c r="E40" s="199"/>
      <c r="F40" s="199"/>
      <c r="G40" s="199"/>
      <c r="H40" s="199"/>
    </row>
    <row r="41" spans="1:36" s="8" customFormat="1" x14ac:dyDescent="0.15">
      <c r="A41" s="6"/>
      <c r="B41" s="199"/>
      <c r="C41" s="199"/>
      <c r="D41" s="199"/>
      <c r="E41" s="199"/>
      <c r="F41" s="199"/>
      <c r="G41" s="199"/>
      <c r="H41" s="199"/>
    </row>
    <row r="42" spans="1:36" s="8" customFormat="1" x14ac:dyDescent="0.15">
      <c r="A42" s="6"/>
      <c r="B42" s="199"/>
      <c r="C42" s="199"/>
      <c r="D42" s="199"/>
      <c r="E42" s="199"/>
      <c r="F42" s="199"/>
      <c r="G42" s="199"/>
      <c r="H42" s="199"/>
    </row>
    <row r="43" spans="1:36" s="8" customFormat="1" x14ac:dyDescent="0.15">
      <c r="A43" s="6"/>
      <c r="B43" s="199"/>
      <c r="C43" s="199"/>
      <c r="D43" s="199"/>
      <c r="E43" s="199"/>
      <c r="F43" s="199"/>
      <c r="G43" s="199"/>
      <c r="H43" s="199"/>
    </row>
  </sheetData>
  <mergeCells count="83">
    <mergeCell ref="AP3:AP4"/>
    <mergeCell ref="AQ3:AQ4"/>
    <mergeCell ref="AK5:AK6"/>
    <mergeCell ref="AL5:AL6"/>
    <mergeCell ref="AM5:AM6"/>
    <mergeCell ref="AN5:AN6"/>
    <mergeCell ref="AO5:AO6"/>
    <mergeCell ref="AP5:AP6"/>
    <mergeCell ref="AQ5:AQ6"/>
    <mergeCell ref="A3:A4"/>
    <mergeCell ref="AK3:AK4"/>
    <mergeCell ref="AL3:AL4"/>
    <mergeCell ref="AM3:AM4"/>
    <mergeCell ref="AN3:AN4"/>
    <mergeCell ref="AO3:AO4"/>
    <mergeCell ref="AK7:AK8"/>
    <mergeCell ref="AL7:AL8"/>
    <mergeCell ref="AM7:AM8"/>
    <mergeCell ref="AN7:AN8"/>
    <mergeCell ref="AP7:AP8"/>
    <mergeCell ref="AQ7:AQ8"/>
    <mergeCell ref="AK9:AK10"/>
    <mergeCell ref="AL9:AL10"/>
    <mergeCell ref="AM9:AM10"/>
    <mergeCell ref="AN9:AN10"/>
    <mergeCell ref="AO9:AO10"/>
    <mergeCell ref="AP9:AP10"/>
    <mergeCell ref="AQ9:AQ10"/>
    <mergeCell ref="AO7:AO8"/>
    <mergeCell ref="AP11:AP12"/>
    <mergeCell ref="AQ11:AQ12"/>
    <mergeCell ref="AK13:AK14"/>
    <mergeCell ref="AL13:AL14"/>
    <mergeCell ref="AM13:AM14"/>
    <mergeCell ref="AN13:AN14"/>
    <mergeCell ref="AO13:AO14"/>
    <mergeCell ref="AP13:AP14"/>
    <mergeCell ref="AQ13:AQ14"/>
    <mergeCell ref="AK11:AK12"/>
    <mergeCell ref="AL11:AL12"/>
    <mergeCell ref="AM11:AM12"/>
    <mergeCell ref="AN11:AN12"/>
    <mergeCell ref="AO11:AO12"/>
    <mergeCell ref="AK15:AK16"/>
    <mergeCell ref="AL15:AL16"/>
    <mergeCell ref="AM15:AM16"/>
    <mergeCell ref="AN15:AN16"/>
    <mergeCell ref="AP15:AP16"/>
    <mergeCell ref="AQ15:AQ16"/>
    <mergeCell ref="AK17:AK18"/>
    <mergeCell ref="AL17:AL18"/>
    <mergeCell ref="AM17:AM18"/>
    <mergeCell ref="AN17:AN18"/>
    <mergeCell ref="AO17:AO18"/>
    <mergeCell ref="AP17:AP18"/>
    <mergeCell ref="AQ17:AQ18"/>
    <mergeCell ref="AO15:AO16"/>
    <mergeCell ref="AQ19:AQ20"/>
    <mergeCell ref="AK21:AK23"/>
    <mergeCell ref="AL21:AL23"/>
    <mergeCell ref="AM21:AM23"/>
    <mergeCell ref="AN21:AN23"/>
    <mergeCell ref="AO21:AO23"/>
    <mergeCell ref="AP21:AP23"/>
    <mergeCell ref="AQ21:AQ23"/>
    <mergeCell ref="AK19:AK20"/>
    <mergeCell ref="AL19:AL20"/>
    <mergeCell ref="AM19:AM20"/>
    <mergeCell ref="AN19:AN20"/>
    <mergeCell ref="AO19:AO20"/>
    <mergeCell ref="AP19:AP20"/>
    <mergeCell ref="U25:V25"/>
    <mergeCell ref="W25:AC25"/>
    <mergeCell ref="B35:H35"/>
    <mergeCell ref="B43:H43"/>
    <mergeCell ref="B37:H37"/>
    <mergeCell ref="B38:H38"/>
    <mergeCell ref="B39:H39"/>
    <mergeCell ref="B40:H40"/>
    <mergeCell ref="B41:H41"/>
    <mergeCell ref="B42:H42"/>
    <mergeCell ref="B36:H36"/>
    <mergeCell ref="N25:P25"/>
  </mergeCells>
  <conditionalFormatting sqref="A28:XFD33">
    <cfRule type="cellIs" dxfId="57" priority="15" operator="equal">
      <formula>1</formula>
    </cfRule>
  </conditionalFormatting>
  <conditionalFormatting sqref="A32:XFD32">
    <cfRule type="cellIs" dxfId="56" priority="12" operator="equal">
      <formula>2</formula>
    </cfRule>
  </conditionalFormatting>
  <conditionalFormatting sqref="A35:XFD43">
    <cfRule type="cellIs" dxfId="55" priority="10" operator="equal">
      <formula>1</formula>
    </cfRule>
    <cfRule type="cellIs" dxfId="54" priority="11" operator="equal">
      <formula>2</formula>
    </cfRule>
  </conditionalFormatting>
  <conditionalFormatting sqref="B5:AJ5 B7:AJ7 B9:AJ9 B11:AJ11 B13:AJ13 B15:AJ15 B17:AJ17 B19:AJ19 B21:AJ22">
    <cfRule type="containsText" dxfId="53" priority="1" operator="containsText" text="5:30 / 1:30">
      <formula>NOT(ISERROR(SEARCH("5:30 / 1:30",B5)))</formula>
    </cfRule>
    <cfRule type="containsText" dxfId="52" priority="2" operator="containsText" text="ENF">
      <formula>NOT(ISERROR(SEARCH("ENF",B5)))</formula>
    </cfRule>
    <cfRule type="containsText" dxfId="51" priority="3" operator="containsText" text="10/6">
      <formula>NOT(ISERROR(SEARCH("10/6",B5)))</formula>
    </cfRule>
    <cfRule type="containsText" dxfId="50" priority="4" operator="containsText" text="6/2">
      <formula>NOT(ISERROR(SEARCH("6/2",B5)))</formula>
    </cfRule>
    <cfRule type="containsText" dxfId="49" priority="5" operator="containsText" text="5/1">
      <formula>NOT(ISERROR(SEARCH("5/1",B5)))</formula>
    </cfRule>
  </conditionalFormatting>
  <conditionalFormatting sqref="B5:AJ5 B7:AJ7 B9:AJ9 B11:AJ11 B13:AJ13 B15:AJ15 B17:AJ17 B19:AJ19">
    <cfRule type="containsText" dxfId="48" priority="6" operator="containsText" text="4:30 / 12:30">
      <formula>NOT(ISERROR(SEARCH("4:30 / 12:30",B5)))</formula>
    </cfRule>
    <cfRule type="containsText" dxfId="47" priority="7" operator="containsText" text="4/12">
      <formula>NOT(ISERROR(SEARCH("4/12",B5)))</formula>
    </cfRule>
  </conditionalFormatting>
  <conditionalFormatting sqref="B5:AJ23">
    <cfRule type="containsText" dxfId="46" priority="8" operator="containsText" text="V">
      <formula>NOT(ISERROR(SEARCH("V",B5)))</formula>
    </cfRule>
    <cfRule type="containsText" dxfId="45" priority="9" operator="containsText" text="L">
      <formula>NOT(ISERROR(SEARCH("L",B5)))</formula>
    </cfRule>
  </conditionalFormatting>
  <conditionalFormatting sqref="B28:AJ33">
    <cfRule type="cellIs" dxfId="44" priority="13" operator="equal">
      <formula>0</formula>
    </cfRule>
    <cfRule type="cellIs" dxfId="43" priority="14" operator="equal">
      <formula>2</formula>
    </cfRule>
  </conditionalFormatting>
  <printOptions horizontalCentered="1" verticalCentered="1"/>
  <pageMargins left="0.15" right="0.15" top="0.5" bottom="0.5" header="0.3" footer="0.3"/>
  <pageSetup scale="90" fitToWidth="0" fitToHeight="0" orientation="landscape" r:id="rId1"/>
  <headerFooter>
    <oddFooter>&amp;R&amp;D</oddFooter>
  </headerFooter>
  <colBreaks count="2" manualBreakCount="2">
    <brk id="15" max="24" man="1"/>
    <brk id="29" max="24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B85566-10D7-47B7-BEEC-B1A7B81CF4CC}">
          <x14:formula1>
            <xm:f>Leyenda!$A$4:$A$19</xm:f>
          </x14:formula1>
          <xm:sqref>B5:AJ5 B21:AJ22 B19:AJ19 B17:AJ17 B15:AJ15 B13:AJ13 B11:AJ11 B7:AJ7 B9:AJ9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3948F-ADB9-4A58-86A0-071F32F78C44}">
  <sheetPr codeName="Sheet16">
    <tabColor rgb="FFFF0000"/>
  </sheetPr>
  <dimension ref="A1:AR42"/>
  <sheetViews>
    <sheetView zoomScale="120" zoomScaleNormal="120" zoomScaleSheetLayoutView="120" workbookViewId="0">
      <pane xSplit="1" ySplit="4" topLeftCell="T5" activePane="bottomRight" state="frozen"/>
      <selection pane="topRight" activeCell="B1" sqref="B1"/>
      <selection pane="bottomLeft" activeCell="A5" sqref="A5"/>
      <selection pane="bottomRight" activeCell="A11" sqref="A11:A21"/>
    </sheetView>
  </sheetViews>
  <sheetFormatPr baseColWidth="10" defaultColWidth="9.1640625" defaultRowHeight="12" x14ac:dyDescent="0.15"/>
  <cols>
    <col min="1" max="1" width="27.5" style="2" bestFit="1" customWidth="1"/>
    <col min="2" max="4" width="8.5" style="8" hidden="1" customWidth="1"/>
    <col min="5" max="5" width="7.6640625" style="8" hidden="1" customWidth="1"/>
    <col min="6" max="6" width="8" style="8" hidden="1" customWidth="1"/>
    <col min="7" max="13" width="8" style="8" customWidth="1"/>
    <col min="14" max="14" width="8.5" style="8" customWidth="1"/>
    <col min="15" max="15" width="8.33203125" style="8" customWidth="1"/>
    <col min="16" max="18" width="8.5" style="8" customWidth="1"/>
    <col min="19" max="19" width="9" style="8" bestFit="1" customWidth="1"/>
    <col min="20" max="20" width="8.83203125" style="8" bestFit="1" customWidth="1"/>
    <col min="21" max="21" width="9" style="8" bestFit="1" customWidth="1"/>
    <col min="22" max="22" width="8.83203125" style="8" bestFit="1" customWidth="1"/>
    <col min="23" max="30" width="8.33203125" style="8" customWidth="1"/>
    <col min="31" max="31" width="9" style="8" customWidth="1"/>
    <col min="32" max="32" width="8.33203125" style="8" customWidth="1"/>
    <col min="33" max="33" width="8.6640625" style="8" customWidth="1"/>
    <col min="34" max="34" width="9.1640625" style="8" customWidth="1"/>
    <col min="35" max="36" width="8.83203125" style="8" customWidth="1"/>
    <col min="37" max="37" width="5.33203125" style="8" customWidth="1"/>
    <col min="38" max="38" width="4.83203125" style="8" customWidth="1"/>
    <col min="39" max="39" width="4.5" style="8" bestFit="1" customWidth="1"/>
    <col min="40" max="40" width="5.33203125" style="8" customWidth="1"/>
    <col min="41" max="41" width="4.1640625" style="8" customWidth="1"/>
    <col min="42" max="42" width="5" style="8" customWidth="1"/>
    <col min="43" max="43" width="6.5" style="8" customWidth="1"/>
    <col min="44" max="44" width="9.1640625" style="8"/>
    <col min="45" max="16384" width="9.1640625" style="2"/>
  </cols>
  <sheetData>
    <row r="1" spans="1:44" ht="30" x14ac:dyDescent="0.15">
      <c r="A1" s="18" t="s">
        <v>0</v>
      </c>
      <c r="C1" s="15"/>
      <c r="J1" s="173"/>
      <c r="K1" s="15"/>
      <c r="Q1" s="173"/>
      <c r="Z1" s="173"/>
      <c r="AB1" s="16"/>
      <c r="AF1" s="15"/>
      <c r="AG1" s="3"/>
      <c r="AH1" s="15"/>
    </row>
    <row r="2" spans="1:44" ht="19.5" customHeight="1" thickBot="1" x14ac:dyDescent="0.25">
      <c r="A2" s="1" t="s">
        <v>1</v>
      </c>
      <c r="B2" s="29"/>
      <c r="D2" s="29"/>
      <c r="E2" s="29"/>
      <c r="F2" s="29"/>
      <c r="G2" s="93"/>
      <c r="H2" s="29"/>
      <c r="I2" s="29"/>
      <c r="J2" s="30"/>
      <c r="K2" s="29"/>
      <c r="L2" s="38"/>
      <c r="M2" s="29"/>
      <c r="N2" s="29"/>
      <c r="O2" s="29"/>
      <c r="P2" s="29"/>
      <c r="R2" s="29"/>
      <c r="S2" s="29"/>
      <c r="T2" s="29"/>
      <c r="U2" s="29"/>
      <c r="V2" s="29"/>
      <c r="W2" s="29"/>
      <c r="X2" s="85"/>
      <c r="Y2" s="29"/>
      <c r="Z2" s="29"/>
      <c r="AA2" s="29"/>
      <c r="AB2" s="29"/>
      <c r="AC2" s="29"/>
      <c r="AD2" s="29"/>
      <c r="AE2" s="29" t="s">
        <v>2</v>
      </c>
      <c r="AF2" s="29"/>
      <c r="AG2" s="29"/>
      <c r="AH2" s="29"/>
      <c r="AI2" s="29"/>
      <c r="AJ2" s="29"/>
      <c r="AQ2" s="7"/>
    </row>
    <row r="3" spans="1:44" ht="17.25" customHeight="1" thickTop="1" x14ac:dyDescent="0.15">
      <c r="A3" s="219" t="s">
        <v>3</v>
      </c>
      <c r="B3" s="10" t="s">
        <v>4</v>
      </c>
      <c r="C3" s="13" t="s">
        <v>5</v>
      </c>
      <c r="D3" s="11" t="s">
        <v>6</v>
      </c>
      <c r="E3" s="9" t="s">
        <v>7</v>
      </c>
      <c r="F3" s="9" t="s">
        <v>8</v>
      </c>
      <c r="G3" s="94" t="s">
        <v>9</v>
      </c>
      <c r="H3" s="12" t="s">
        <v>10</v>
      </c>
      <c r="I3" s="10" t="s">
        <v>4</v>
      </c>
      <c r="J3" s="13" t="s">
        <v>5</v>
      </c>
      <c r="K3" s="11" t="s">
        <v>6</v>
      </c>
      <c r="L3" s="9" t="s">
        <v>7</v>
      </c>
      <c r="M3" s="9" t="s">
        <v>8</v>
      </c>
      <c r="N3" s="94" t="s">
        <v>9</v>
      </c>
      <c r="O3" s="12" t="s">
        <v>10</v>
      </c>
      <c r="P3" s="76" t="s">
        <v>4</v>
      </c>
      <c r="Q3" s="77" t="s">
        <v>5</v>
      </c>
      <c r="R3" s="78" t="s">
        <v>6</v>
      </c>
      <c r="S3" s="78" t="s">
        <v>7</v>
      </c>
      <c r="T3" s="78" t="s">
        <v>8</v>
      </c>
      <c r="U3" s="78" t="s">
        <v>9</v>
      </c>
      <c r="V3" s="79" t="s">
        <v>10</v>
      </c>
      <c r="W3" s="76" t="s">
        <v>4</v>
      </c>
      <c r="X3" s="77" t="s">
        <v>5</v>
      </c>
      <c r="Y3" s="78" t="s">
        <v>6</v>
      </c>
      <c r="Z3" s="78" t="s">
        <v>7</v>
      </c>
      <c r="AA3" s="78" t="s">
        <v>8</v>
      </c>
      <c r="AB3" s="78" t="s">
        <v>9</v>
      </c>
      <c r="AC3" s="79" t="s">
        <v>10</v>
      </c>
      <c r="AD3" s="76" t="s">
        <v>4</v>
      </c>
      <c r="AE3" s="104" t="s">
        <v>5</v>
      </c>
      <c r="AF3" s="77" t="s">
        <v>6</v>
      </c>
      <c r="AG3" s="78" t="s">
        <v>7</v>
      </c>
      <c r="AH3" s="78" t="s">
        <v>8</v>
      </c>
      <c r="AI3" s="83" t="s">
        <v>9</v>
      </c>
      <c r="AJ3" s="84" t="s">
        <v>10</v>
      </c>
      <c r="AK3" s="221" t="s">
        <v>11</v>
      </c>
      <c r="AL3" s="211" t="s">
        <v>12</v>
      </c>
      <c r="AM3" s="211" t="s">
        <v>13</v>
      </c>
      <c r="AN3" s="211" t="s">
        <v>14</v>
      </c>
      <c r="AO3" s="211" t="s">
        <v>15</v>
      </c>
      <c r="AP3" s="192" t="s">
        <v>16</v>
      </c>
      <c r="AQ3" s="241" t="s">
        <v>41</v>
      </c>
    </row>
    <row r="4" spans="1:44" ht="13" thickBot="1" x14ac:dyDescent="0.2">
      <c r="A4" s="220"/>
      <c r="B4" s="31">
        <v>46138</v>
      </c>
      <c r="C4" s="37">
        <f>B4+1</f>
        <v>46139</v>
      </c>
      <c r="D4" s="32">
        <f>C4+1</f>
        <v>46140</v>
      </c>
      <c r="E4" s="32">
        <f t="shared" ref="E4:H4" si="0">D4+1</f>
        <v>46141</v>
      </c>
      <c r="F4" s="32">
        <f t="shared" si="0"/>
        <v>46142</v>
      </c>
      <c r="G4" s="32">
        <f t="shared" si="0"/>
        <v>46143</v>
      </c>
      <c r="H4" s="32">
        <f t="shared" si="0"/>
        <v>46144</v>
      </c>
      <c r="I4" s="33">
        <f>H4+1</f>
        <v>46145</v>
      </c>
      <c r="J4" s="34">
        <f t="shared" ref="J4:O4" si="1">I4+1</f>
        <v>46146</v>
      </c>
      <c r="K4" s="34">
        <f t="shared" si="1"/>
        <v>46147</v>
      </c>
      <c r="L4" s="34">
        <f t="shared" si="1"/>
        <v>46148</v>
      </c>
      <c r="M4" s="34">
        <f t="shared" si="1"/>
        <v>46149</v>
      </c>
      <c r="N4" s="34">
        <f t="shared" si="1"/>
        <v>46150</v>
      </c>
      <c r="O4" s="36">
        <f t="shared" si="1"/>
        <v>46151</v>
      </c>
      <c r="P4" s="33">
        <f>O4+1</f>
        <v>46152</v>
      </c>
      <c r="Q4" s="34">
        <f t="shared" ref="Q4:V4" si="2">P4+1</f>
        <v>46153</v>
      </c>
      <c r="R4" s="34">
        <f t="shared" si="2"/>
        <v>46154</v>
      </c>
      <c r="S4" s="34">
        <f t="shared" si="2"/>
        <v>46155</v>
      </c>
      <c r="T4" s="34">
        <f t="shared" si="2"/>
        <v>46156</v>
      </c>
      <c r="U4" s="34">
        <f t="shared" si="2"/>
        <v>46157</v>
      </c>
      <c r="V4" s="36">
        <f t="shared" si="2"/>
        <v>46158</v>
      </c>
      <c r="W4" s="33">
        <f>V4+1</f>
        <v>46159</v>
      </c>
      <c r="X4" s="34">
        <f t="shared" ref="X4:AC4" si="3">W4+1</f>
        <v>46160</v>
      </c>
      <c r="Y4" s="34">
        <f t="shared" si="3"/>
        <v>46161</v>
      </c>
      <c r="Z4" s="34">
        <f t="shared" si="3"/>
        <v>46162</v>
      </c>
      <c r="AA4" s="34">
        <f t="shared" si="3"/>
        <v>46163</v>
      </c>
      <c r="AB4" s="34">
        <f t="shared" si="3"/>
        <v>46164</v>
      </c>
      <c r="AC4" s="36">
        <f t="shared" si="3"/>
        <v>46165</v>
      </c>
      <c r="AD4" s="33">
        <f>AC4+1</f>
        <v>46166</v>
      </c>
      <c r="AE4" s="86">
        <f t="shared" ref="AE4:AJ4" si="4">AD4+1</f>
        <v>46167</v>
      </c>
      <c r="AF4" s="34">
        <f t="shared" si="4"/>
        <v>46168</v>
      </c>
      <c r="AG4" s="34">
        <f t="shared" si="4"/>
        <v>46169</v>
      </c>
      <c r="AH4" s="34">
        <f t="shared" si="4"/>
        <v>46170</v>
      </c>
      <c r="AI4" s="34">
        <f t="shared" si="4"/>
        <v>46171</v>
      </c>
      <c r="AJ4" s="35">
        <f t="shared" si="4"/>
        <v>46172</v>
      </c>
      <c r="AK4" s="222"/>
      <c r="AL4" s="212"/>
      <c r="AM4" s="212"/>
      <c r="AN4" s="212"/>
      <c r="AO4" s="212"/>
      <c r="AP4" s="193"/>
      <c r="AQ4" s="242"/>
    </row>
    <row r="5" spans="1:44" ht="30" customHeight="1" thickTop="1" x14ac:dyDescent="0.15">
      <c r="A5" s="213" t="s">
        <v>18</v>
      </c>
      <c r="B5" s="39" t="s">
        <v>15</v>
      </c>
      <c r="C5" s="40" t="s">
        <v>11</v>
      </c>
      <c r="D5" s="41" t="s">
        <v>5</v>
      </c>
      <c r="E5" s="40" t="s">
        <v>15</v>
      </c>
      <c r="F5" s="40" t="s">
        <v>15</v>
      </c>
      <c r="G5" s="42" t="s">
        <v>15</v>
      </c>
      <c r="H5" s="43" t="s">
        <v>5</v>
      </c>
      <c r="I5" s="39" t="s">
        <v>5</v>
      </c>
      <c r="J5" s="40" t="s">
        <v>15</v>
      </c>
      <c r="K5" s="41" t="s">
        <v>15</v>
      </c>
      <c r="L5" s="40" t="s">
        <v>15</v>
      </c>
      <c r="M5" s="40" t="s">
        <v>5</v>
      </c>
      <c r="N5" s="42" t="s">
        <v>11</v>
      </c>
      <c r="O5" s="43" t="s">
        <v>11</v>
      </c>
      <c r="P5" s="39" t="s">
        <v>11</v>
      </c>
      <c r="Q5" s="40" t="s">
        <v>15</v>
      </c>
      <c r="R5" s="40" t="s">
        <v>5</v>
      </c>
      <c r="S5" s="40" t="s">
        <v>11</v>
      </c>
      <c r="T5" s="40" t="s">
        <v>11</v>
      </c>
      <c r="U5" s="40" t="s">
        <v>11</v>
      </c>
      <c r="V5" s="43" t="s">
        <v>5</v>
      </c>
      <c r="W5" s="39" t="s">
        <v>5</v>
      </c>
      <c r="X5" s="41" t="s">
        <v>11</v>
      </c>
      <c r="Y5" s="42" t="s">
        <v>11</v>
      </c>
      <c r="Z5" s="40" t="s">
        <v>11</v>
      </c>
      <c r="AA5" s="41" t="s">
        <v>11</v>
      </c>
      <c r="AB5" s="40" t="s">
        <v>5</v>
      </c>
      <c r="AC5" s="43" t="s">
        <v>11</v>
      </c>
      <c r="AD5" s="39" t="s">
        <v>11</v>
      </c>
      <c r="AE5" s="87" t="s">
        <v>15</v>
      </c>
      <c r="AF5" s="41" t="s">
        <v>15</v>
      </c>
      <c r="AG5" s="40" t="s">
        <v>5</v>
      </c>
      <c r="AH5" s="40" t="s">
        <v>11</v>
      </c>
      <c r="AI5" s="42" t="s">
        <v>15</v>
      </c>
      <c r="AJ5" s="43" t="s">
        <v>5</v>
      </c>
      <c r="AK5" s="214" cm="1">
        <f t="array" ref="AK5">SUMPRODUCT(--(MONTH($B4:$AJ4)=5), --($B5:$AJ5="4/12"))</f>
        <v>13</v>
      </c>
      <c r="AL5" s="216" cm="1">
        <f t="array" ref="AL5">SUMPRODUCT(--(MONTH($B4:$AJ4)=5), --($B5:$AJ5="4:30 / 12:30"))</f>
        <v>0</v>
      </c>
      <c r="AM5" s="218" cm="1">
        <f t="array" ref="AM5">SUMPRODUCT(--(MONTH($B4:$AJ4)=5), --($B5:$AJ5="5/1"))</f>
        <v>0</v>
      </c>
      <c r="AN5" s="218" cm="1">
        <f t="array" ref="AN5">SUMPRODUCT(--(MONTH($B4:$AJ4)=5), --($B5:$AJ5="5:30 / 1:30"))</f>
        <v>0</v>
      </c>
      <c r="AO5" s="218" cm="1">
        <f t="array" ref="AO5">SUMPRODUCT(--(MONTH($B4:$AJ4)=5), --($B5:$AJ5="6/2"))</f>
        <v>8</v>
      </c>
      <c r="AP5" s="194" cm="1">
        <f t="array" ref="AP5">SUMPRODUCT(--(MONTH($B4:$AJ4)=5), --($B5:$AJ5="10/6"))</f>
        <v>0</v>
      </c>
      <c r="AQ5" s="243">
        <f>SUM(AK5:AN6)</f>
        <v>13</v>
      </c>
      <c r="AR5" s="7"/>
    </row>
    <row r="6" spans="1:44" s="4" customFormat="1" ht="12" customHeight="1" x14ac:dyDescent="0.15">
      <c r="A6" s="208"/>
      <c r="B6" s="44"/>
      <c r="C6" s="45"/>
      <c r="D6" s="177"/>
      <c r="E6" s="45"/>
      <c r="F6" s="45"/>
      <c r="G6" s="176"/>
      <c r="H6" s="46"/>
      <c r="I6" s="44"/>
      <c r="J6" s="45"/>
      <c r="K6" s="177"/>
      <c r="L6" s="90"/>
      <c r="M6" s="45"/>
      <c r="N6" s="176"/>
      <c r="O6" s="46"/>
      <c r="P6" s="44"/>
      <c r="Q6" s="47"/>
      <c r="R6" s="45"/>
      <c r="S6" s="48"/>
      <c r="T6" s="45"/>
      <c r="U6" s="45"/>
      <c r="V6" s="46"/>
      <c r="W6" s="44"/>
      <c r="X6" s="177"/>
      <c r="Y6" s="45"/>
      <c r="Z6" s="45"/>
      <c r="AA6" s="45"/>
      <c r="AB6" s="45"/>
      <c r="AC6" s="46"/>
      <c r="AD6" s="44"/>
      <c r="AE6" s="99"/>
      <c r="AF6" s="177"/>
      <c r="AG6" s="45"/>
      <c r="AH6" s="45"/>
      <c r="AI6" s="176"/>
      <c r="AJ6" s="46"/>
      <c r="AK6" s="215"/>
      <c r="AL6" s="217"/>
      <c r="AM6" s="205"/>
      <c r="AN6" s="205"/>
      <c r="AO6" s="205"/>
      <c r="AP6" s="195"/>
      <c r="AQ6" s="224"/>
      <c r="AR6" s="173"/>
    </row>
    <row r="7" spans="1:44" ht="30" customHeight="1" x14ac:dyDescent="0.15">
      <c r="A7" s="207" t="s">
        <v>21</v>
      </c>
      <c r="B7" s="49" t="s">
        <v>11</v>
      </c>
      <c r="C7" s="50" t="s">
        <v>5</v>
      </c>
      <c r="D7" s="51" t="s">
        <v>11</v>
      </c>
      <c r="E7" s="50" t="s">
        <v>11</v>
      </c>
      <c r="F7" s="50" t="s">
        <v>11</v>
      </c>
      <c r="G7" s="52" t="s">
        <v>11</v>
      </c>
      <c r="H7" s="53" t="s">
        <v>5</v>
      </c>
      <c r="I7" s="49" t="s">
        <v>5</v>
      </c>
      <c r="J7" s="50" t="s">
        <v>11</v>
      </c>
      <c r="K7" s="51" t="s">
        <v>11</v>
      </c>
      <c r="L7" s="50" t="s">
        <v>11</v>
      </c>
      <c r="M7" s="50" t="s">
        <v>11</v>
      </c>
      <c r="N7" s="52" t="s">
        <v>5</v>
      </c>
      <c r="O7" s="53" t="s">
        <v>15</v>
      </c>
      <c r="P7" s="49" t="s">
        <v>15</v>
      </c>
      <c r="Q7" s="50" t="s">
        <v>11</v>
      </c>
      <c r="R7" s="54" t="s">
        <v>11</v>
      </c>
      <c r="S7" s="50" t="s">
        <v>5</v>
      </c>
      <c r="T7" s="51" t="s">
        <v>5</v>
      </c>
      <c r="U7" s="50" t="s">
        <v>15</v>
      </c>
      <c r="V7" s="53" t="s">
        <v>15</v>
      </c>
      <c r="W7" s="49" t="s">
        <v>15</v>
      </c>
      <c r="X7" s="51" t="s">
        <v>5</v>
      </c>
      <c r="Y7" s="50" t="s">
        <v>15</v>
      </c>
      <c r="Z7" s="50" t="s">
        <v>15</v>
      </c>
      <c r="AA7" s="50" t="s">
        <v>15</v>
      </c>
      <c r="AB7" s="50" t="s">
        <v>11</v>
      </c>
      <c r="AC7" s="53" t="s">
        <v>5</v>
      </c>
      <c r="AD7" s="49" t="s">
        <v>5</v>
      </c>
      <c r="AE7" s="88" t="s">
        <v>11</v>
      </c>
      <c r="AF7" s="51" t="s">
        <v>11</v>
      </c>
      <c r="AG7" s="50" t="s">
        <v>11</v>
      </c>
      <c r="AH7" s="50" t="s">
        <v>5</v>
      </c>
      <c r="AI7" s="52" t="s">
        <v>11</v>
      </c>
      <c r="AJ7" s="53" t="s">
        <v>11</v>
      </c>
      <c r="AK7" s="209" cm="1">
        <f t="array" ref="AK7">SUMPRODUCT(--(MONTH($B4:$AJ4)=5), --($B7:$AJ7="4/12"))</f>
        <v>13</v>
      </c>
      <c r="AL7" s="205" cm="1">
        <f t="array" ref="AL7">SUMPRODUCT(--(MONTH($B4:$AJ4)=5), --($B7:$AJ7="4:30 / 12:30"))</f>
        <v>0</v>
      </c>
      <c r="AM7" s="205" cm="1">
        <f t="array" ref="AM7">SUMPRODUCT(--(MONTH($B4:$AJ4)=5), --($B7:$AJ7="5/1"))</f>
        <v>0</v>
      </c>
      <c r="AN7" s="205" cm="1">
        <f t="array" ref="AN7">SUMPRODUCT(--(MONTH($B4:$AJ4)=5), --($B7:$AJ7="5:30 / 1:30"))</f>
        <v>0</v>
      </c>
      <c r="AO7" s="205" cm="1">
        <f t="array" ref="AO7">SUMPRODUCT(--(MONTH($B4:$AJ4)=5), --($B7:$AJ7="6/2"))</f>
        <v>8</v>
      </c>
      <c r="AP7" s="195" cm="1">
        <f t="array" ref="AP7">SUMPRODUCT(--(MONTH($B4:$AJ4)=5), --($B7:$AJ7="10/6"))</f>
        <v>0</v>
      </c>
      <c r="AQ7" s="224">
        <f t="shared" ref="AQ7" si="5">SUM(AK7:AN8)</f>
        <v>13</v>
      </c>
    </row>
    <row r="8" spans="1:44" s="4" customFormat="1" ht="12" customHeight="1" x14ac:dyDescent="0.15">
      <c r="A8" s="208"/>
      <c r="B8" s="44"/>
      <c r="C8" s="45"/>
      <c r="D8" s="55"/>
      <c r="E8" s="45"/>
      <c r="F8" s="45"/>
      <c r="G8" s="176"/>
      <c r="H8" s="46"/>
      <c r="I8" s="44"/>
      <c r="J8" s="45"/>
      <c r="K8" s="55"/>
      <c r="L8" s="45"/>
      <c r="M8" s="45"/>
      <c r="N8" s="176"/>
      <c r="O8" s="46"/>
      <c r="P8" s="44"/>
      <c r="Q8" s="95"/>
      <c r="R8" s="176"/>
      <c r="S8" s="45"/>
      <c r="T8" s="45"/>
      <c r="U8" s="45"/>
      <c r="V8" s="46"/>
      <c r="W8" s="44"/>
      <c r="X8" s="55"/>
      <c r="Y8" s="176"/>
      <c r="Z8" s="176"/>
      <c r="AA8" s="176"/>
      <c r="AB8" s="176"/>
      <c r="AC8" s="46"/>
      <c r="AD8" s="44"/>
      <c r="AE8" s="99"/>
      <c r="AF8" s="55"/>
      <c r="AG8" s="45"/>
      <c r="AH8" s="45"/>
      <c r="AI8" s="176"/>
      <c r="AJ8" s="46"/>
      <c r="AK8" s="210"/>
      <c r="AL8" s="206"/>
      <c r="AM8" s="206"/>
      <c r="AN8" s="206"/>
      <c r="AO8" s="206"/>
      <c r="AP8" s="196"/>
      <c r="AQ8" s="229"/>
      <c r="AR8" s="173"/>
    </row>
    <row r="9" spans="1:44" ht="30" customHeight="1" x14ac:dyDescent="0.15">
      <c r="A9" s="97" t="s">
        <v>25</v>
      </c>
      <c r="B9" s="49" t="s">
        <v>5</v>
      </c>
      <c r="C9" s="50" t="s">
        <v>13</v>
      </c>
      <c r="D9" s="54" t="s">
        <v>13</v>
      </c>
      <c r="E9" s="50" t="s">
        <v>13</v>
      </c>
      <c r="F9" s="50" t="s">
        <v>13</v>
      </c>
      <c r="G9" s="52" t="s">
        <v>5</v>
      </c>
      <c r="H9" s="53" t="s">
        <v>15</v>
      </c>
      <c r="I9" s="49" t="s">
        <v>15</v>
      </c>
      <c r="J9" s="50" t="s">
        <v>13</v>
      </c>
      <c r="K9" s="54" t="s">
        <v>5</v>
      </c>
      <c r="L9" s="50" t="s">
        <v>13</v>
      </c>
      <c r="M9" s="50" t="s">
        <v>13</v>
      </c>
      <c r="N9" s="52" t="s">
        <v>15</v>
      </c>
      <c r="O9" s="53" t="s">
        <v>5</v>
      </c>
      <c r="P9" s="49" t="s">
        <v>5</v>
      </c>
      <c r="Q9" s="52" t="s">
        <v>13</v>
      </c>
      <c r="R9" s="52" t="s">
        <v>15</v>
      </c>
      <c r="S9" s="50" t="s">
        <v>15</v>
      </c>
      <c r="T9" s="52" t="s">
        <v>15</v>
      </c>
      <c r="U9" s="50" t="s">
        <v>13</v>
      </c>
      <c r="V9" s="56" t="s">
        <v>5</v>
      </c>
      <c r="W9" s="49" t="s">
        <v>5</v>
      </c>
      <c r="X9" s="50" t="s">
        <v>15</v>
      </c>
      <c r="Y9" s="50" t="s">
        <v>13</v>
      </c>
      <c r="Z9" s="50" t="s">
        <v>13</v>
      </c>
      <c r="AA9" s="50" t="s">
        <v>5</v>
      </c>
      <c r="AB9" s="50" t="s">
        <v>15</v>
      </c>
      <c r="AC9" s="56" t="s">
        <v>15</v>
      </c>
      <c r="AD9" s="49" t="s">
        <v>15</v>
      </c>
      <c r="AE9" s="88" t="s">
        <v>20</v>
      </c>
      <c r="AF9" s="54" t="s">
        <v>5</v>
      </c>
      <c r="AG9" s="50" t="s">
        <v>15</v>
      </c>
      <c r="AH9" s="50" t="s">
        <v>15</v>
      </c>
      <c r="AI9" s="52" t="s">
        <v>5</v>
      </c>
      <c r="AJ9" s="53" t="s">
        <v>15</v>
      </c>
      <c r="AK9" s="189" cm="1">
        <f t="array" ref="AK9">SUMPRODUCT(--(MONTH($B4:$AJ4)=5), --($B9:$AJ9="4/12"))</f>
        <v>0</v>
      </c>
      <c r="AL9" s="188" cm="1">
        <f t="array" ref="AL9">SUMPRODUCT(--(MONTH($B4:$AJ4)=5), --($B9:$AJ9="4:30 / 12:30"))</f>
        <v>0</v>
      </c>
      <c r="AM9" s="188" cm="1">
        <f t="array" ref="AM9">SUMPRODUCT(--(MONTH($B4:$AJ4)=5), --($B9:$AJ9="5/1"))</f>
        <v>7</v>
      </c>
      <c r="AN9" s="188" cm="1">
        <f t="array" ref="AN9">SUMPRODUCT(--(MONTH($B4:$AJ4)=5), --($B9:$AJ9="5:30 / 1:30"))</f>
        <v>0</v>
      </c>
      <c r="AO9" s="188" cm="1">
        <f t="array" ref="AO9">SUMPRODUCT(--(MONTH($B4:$AJ4)=5), --($B9:$AJ9="6/2"))</f>
        <v>13</v>
      </c>
      <c r="AP9" s="186" cm="1">
        <f t="array" ref="AP9">SUMPRODUCT(--(MONTH($B4:$AJ4)=5), --($B9:$AJ9="10/6"))</f>
        <v>0</v>
      </c>
      <c r="AQ9" s="229">
        <f t="shared" ref="AQ9" si="6">SUM(AK9:AN10)</f>
        <v>7</v>
      </c>
    </row>
    <row r="10" spans="1:44" s="4" customFormat="1" ht="12" customHeight="1" thickBot="1" x14ac:dyDescent="0.2">
      <c r="A10" s="98"/>
      <c r="B10" s="25"/>
      <c r="C10" s="21"/>
      <c r="D10" s="57"/>
      <c r="E10" s="21"/>
      <c r="F10" s="21"/>
      <c r="G10" s="175"/>
      <c r="H10" s="58"/>
      <c r="I10" s="25"/>
      <c r="J10" s="21"/>
      <c r="K10" s="57"/>
      <c r="L10" s="21"/>
      <c r="M10" s="21"/>
      <c r="N10" s="175"/>
      <c r="O10" s="58"/>
      <c r="P10" s="25"/>
      <c r="Q10" s="57"/>
      <c r="R10" s="175"/>
      <c r="S10" s="21"/>
      <c r="T10" s="21"/>
      <c r="U10" s="21"/>
      <c r="V10" s="58" t="s">
        <v>24</v>
      </c>
      <c r="W10" s="25" t="s">
        <v>24</v>
      </c>
      <c r="X10" s="57"/>
      <c r="Y10" s="175"/>
      <c r="Z10" s="21"/>
      <c r="AA10" s="21"/>
      <c r="AB10" s="21"/>
      <c r="AC10" s="58"/>
      <c r="AD10" s="25"/>
      <c r="AE10" s="100"/>
      <c r="AF10" s="57"/>
      <c r="AG10" s="21"/>
      <c r="AH10" s="21"/>
      <c r="AI10" s="175"/>
      <c r="AJ10" s="58"/>
      <c r="AK10" s="190"/>
      <c r="AL10" s="191"/>
      <c r="AM10" s="191"/>
      <c r="AN10" s="191"/>
      <c r="AO10" s="191"/>
      <c r="AP10" s="187"/>
      <c r="AQ10" s="230"/>
      <c r="AR10" s="173"/>
    </row>
    <row r="11" spans="1:44" ht="30" customHeight="1" thickTop="1" x14ac:dyDescent="0.15">
      <c r="A11" s="240" t="s">
        <v>26</v>
      </c>
      <c r="B11" s="39" t="s">
        <v>27</v>
      </c>
      <c r="C11" s="40" t="s">
        <v>27</v>
      </c>
      <c r="D11" s="59" t="s">
        <v>5</v>
      </c>
      <c r="E11" s="60" t="s">
        <v>5</v>
      </c>
      <c r="F11" s="41" t="s">
        <v>27</v>
      </c>
      <c r="G11" s="61" t="s">
        <v>16</v>
      </c>
      <c r="H11" s="43" t="s">
        <v>16</v>
      </c>
      <c r="I11" s="39" t="s">
        <v>16</v>
      </c>
      <c r="J11" s="40" t="s">
        <v>5</v>
      </c>
      <c r="K11" s="59" t="s">
        <v>27</v>
      </c>
      <c r="L11" s="50" t="s">
        <v>27</v>
      </c>
      <c r="M11" s="41" t="s">
        <v>16</v>
      </c>
      <c r="N11" s="61" t="s">
        <v>16</v>
      </c>
      <c r="O11" s="43" t="s">
        <v>5</v>
      </c>
      <c r="P11" s="39" t="s">
        <v>5</v>
      </c>
      <c r="Q11" s="41" t="s">
        <v>27</v>
      </c>
      <c r="R11" s="40" t="s">
        <v>27</v>
      </c>
      <c r="S11" s="40" t="s">
        <v>19</v>
      </c>
      <c r="T11" s="40" t="s">
        <v>5</v>
      </c>
      <c r="U11" s="40" t="s">
        <v>27</v>
      </c>
      <c r="V11" s="43" t="s">
        <v>27</v>
      </c>
      <c r="W11" s="39" t="s">
        <v>27</v>
      </c>
      <c r="X11" s="41" t="s">
        <v>27</v>
      </c>
      <c r="Y11" s="40" t="s">
        <v>5</v>
      </c>
      <c r="Z11" s="40" t="s">
        <v>27</v>
      </c>
      <c r="AA11" s="40" t="s">
        <v>16</v>
      </c>
      <c r="AB11" s="40" t="s">
        <v>16</v>
      </c>
      <c r="AC11" s="43" t="s">
        <v>5</v>
      </c>
      <c r="AD11" s="39" t="s">
        <v>5</v>
      </c>
      <c r="AE11" s="87" t="s">
        <v>20</v>
      </c>
      <c r="AF11" s="59" t="s">
        <v>5</v>
      </c>
      <c r="AG11" s="60" t="s">
        <v>27</v>
      </c>
      <c r="AH11" s="41" t="s">
        <v>27</v>
      </c>
      <c r="AI11" s="61" t="s">
        <v>27</v>
      </c>
      <c r="AJ11" s="43" t="s">
        <v>27</v>
      </c>
      <c r="AK11" s="203" cm="1">
        <f t="array" ref="AK11">SUMPRODUCT(--(MONTH($B4:$AJ4)=5), --($B11:$AJ11="4/12"))</f>
        <v>0</v>
      </c>
      <c r="AL11" s="204" cm="1">
        <f t="array" ref="AL11">SUMPRODUCT(--(MONTH($B4:$AJ4)=5), --($B11:$AJ11="4:30 / 12:30"))</f>
        <v>13</v>
      </c>
      <c r="AM11" s="204" cm="1">
        <f t="array" ref="AM11">SUMPRODUCT(--(MONTH($B4:$AJ4)=5), --($B11:$AJ11="5/1"))</f>
        <v>0</v>
      </c>
      <c r="AN11" s="204" cm="1">
        <f t="array" ref="AN11">SUMPRODUCT(--(MONTH($B4:$AJ4)=5), --($B11:$AJ11="5:30 / 1:30"))</f>
        <v>0</v>
      </c>
      <c r="AO11" s="204" cm="1">
        <f t="array" ref="AO11">SUMPRODUCT(--(MONTH($B4:$AJ4)=5), --($B11:$AJ11="6/2"))</f>
        <v>0</v>
      </c>
      <c r="AP11" s="197" cm="1">
        <f t="array" ref="AP11">SUMPRODUCT(--(MONTH($B4:$AJ4)=5), --($B11:$AJ11="10/6"))</f>
        <v>7</v>
      </c>
      <c r="AQ11" s="226">
        <f t="shared" ref="AQ11" si="7">SUM(AK11:AN12)</f>
        <v>13</v>
      </c>
      <c r="AR11" s="7"/>
    </row>
    <row r="12" spans="1:44" s="4" customFormat="1" ht="12" customHeight="1" x14ac:dyDescent="0.15">
      <c r="A12" s="239"/>
      <c r="B12" s="44"/>
      <c r="C12" s="45"/>
      <c r="D12" s="177"/>
      <c r="E12" s="45"/>
      <c r="F12" s="45"/>
      <c r="G12" s="176"/>
      <c r="H12" s="46"/>
      <c r="I12" s="44"/>
      <c r="J12" s="45"/>
      <c r="K12" s="177" t="s">
        <v>28</v>
      </c>
      <c r="L12" s="45"/>
      <c r="M12" s="45"/>
      <c r="N12" s="176"/>
      <c r="O12" s="46"/>
      <c r="P12" s="44"/>
      <c r="Q12" s="177"/>
      <c r="R12" s="45" t="s">
        <v>28</v>
      </c>
      <c r="S12" s="45"/>
      <c r="T12" s="45"/>
      <c r="U12" s="45" t="s">
        <v>28</v>
      </c>
      <c r="V12" s="46"/>
      <c r="W12" s="44"/>
      <c r="X12" s="47"/>
      <c r="Y12" s="45" t="s">
        <v>24</v>
      </c>
      <c r="Z12" s="45"/>
      <c r="AA12" s="45"/>
      <c r="AB12" s="48"/>
      <c r="AC12" s="46"/>
      <c r="AD12" s="44"/>
      <c r="AE12" s="99"/>
      <c r="AF12" s="177"/>
      <c r="AG12" s="45"/>
      <c r="AH12" s="45"/>
      <c r="AI12" s="176" t="s">
        <v>28</v>
      </c>
      <c r="AJ12" s="46"/>
      <c r="AK12" s="189"/>
      <c r="AL12" s="188"/>
      <c r="AM12" s="188"/>
      <c r="AN12" s="188"/>
      <c r="AO12" s="188"/>
      <c r="AP12" s="185"/>
      <c r="AQ12" s="224"/>
      <c r="AR12" s="173"/>
    </row>
    <row r="13" spans="1:44" ht="30" customHeight="1" x14ac:dyDescent="0.15">
      <c r="A13" s="238" t="s">
        <v>29</v>
      </c>
      <c r="B13" s="49" t="s">
        <v>5</v>
      </c>
      <c r="C13" s="50" t="s">
        <v>16</v>
      </c>
      <c r="D13" s="51" t="s">
        <v>15</v>
      </c>
      <c r="E13" s="51" t="s">
        <v>19</v>
      </c>
      <c r="F13" s="50" t="s">
        <v>5</v>
      </c>
      <c r="G13" s="62" t="s">
        <v>27</v>
      </c>
      <c r="H13" s="53" t="s">
        <v>27</v>
      </c>
      <c r="I13" s="49" t="s">
        <v>27</v>
      </c>
      <c r="J13" s="50" t="s">
        <v>27</v>
      </c>
      <c r="K13" s="51" t="s">
        <v>27</v>
      </c>
      <c r="L13" s="50" t="s">
        <v>5</v>
      </c>
      <c r="M13" s="50" t="s">
        <v>19</v>
      </c>
      <c r="N13" s="62" t="s">
        <v>5</v>
      </c>
      <c r="O13" s="161" t="s">
        <v>16</v>
      </c>
      <c r="P13" s="162" t="s">
        <v>16</v>
      </c>
      <c r="Q13" s="51" t="s">
        <v>5</v>
      </c>
      <c r="R13" s="61" t="s">
        <v>13</v>
      </c>
      <c r="S13" s="61" t="s">
        <v>27</v>
      </c>
      <c r="T13" s="50" t="s">
        <v>5</v>
      </c>
      <c r="U13" s="61" t="s">
        <v>27</v>
      </c>
      <c r="V13" s="53" t="s">
        <v>11</v>
      </c>
      <c r="W13" s="63" t="s">
        <v>11</v>
      </c>
      <c r="X13" s="50" t="s">
        <v>5</v>
      </c>
      <c r="Y13" s="64" t="s">
        <v>16</v>
      </c>
      <c r="Z13" s="61" t="s">
        <v>27</v>
      </c>
      <c r="AA13" s="52" t="s">
        <v>27</v>
      </c>
      <c r="AB13" s="61" t="s">
        <v>27</v>
      </c>
      <c r="AC13" s="56" t="s">
        <v>5</v>
      </c>
      <c r="AD13" s="49" t="s">
        <v>5</v>
      </c>
      <c r="AE13" s="88" t="s">
        <v>27</v>
      </c>
      <c r="AF13" s="51" t="s">
        <v>27</v>
      </c>
      <c r="AG13" s="51" t="s">
        <v>27</v>
      </c>
      <c r="AH13" s="50" t="s">
        <v>5</v>
      </c>
      <c r="AI13" s="62" t="s">
        <v>16</v>
      </c>
      <c r="AJ13" s="53" t="s">
        <v>16</v>
      </c>
      <c r="AK13" s="189" cm="1">
        <f t="array" ref="AK13">SUMPRODUCT(--(MONTH($B4:$AJ4)=5), --($B13:$AJ13="4/12"))</f>
        <v>2</v>
      </c>
      <c r="AL13" s="188" cm="1">
        <f t="array" ref="AL13">SUMPRODUCT(--(MONTH($B4:$AJ4)=5), --($B13:$AJ13="4:30 / 12:30"))</f>
        <v>13</v>
      </c>
      <c r="AM13" s="188" cm="1">
        <f t="array" ref="AM13">SUMPRODUCT(--(MONTH($B4:$AJ4)=5), --($B13:$AJ13="5/1"))</f>
        <v>1</v>
      </c>
      <c r="AN13" s="188" cm="1">
        <f t="array" ref="AN13">SUMPRODUCT(--(MONTH($B4:$AJ4)=5), --($B13:$AJ13="5:30 / 1:30"))</f>
        <v>0</v>
      </c>
      <c r="AO13" s="188" cm="1">
        <f t="array" ref="AO13">SUMPRODUCT(--(MONTH($B4:$AJ4)=5), --($B13:$AJ13="6/2"))</f>
        <v>0</v>
      </c>
      <c r="AP13" s="185" cm="1">
        <f t="array" ref="AP13">SUMPRODUCT(--(MONTH($B4:$AJ4)=5), --($B13:$AJ13="10/6"))</f>
        <v>5</v>
      </c>
      <c r="AQ13" s="224">
        <f t="shared" ref="AQ13" si="8">SUM(AK13:AN14)</f>
        <v>16</v>
      </c>
    </row>
    <row r="14" spans="1:44" s="4" customFormat="1" ht="12" customHeight="1" x14ac:dyDescent="0.15">
      <c r="A14" s="239"/>
      <c r="B14" s="44" t="s">
        <v>24</v>
      </c>
      <c r="C14" s="45"/>
      <c r="D14" s="179"/>
      <c r="E14" s="65"/>
      <c r="F14" s="45"/>
      <c r="G14" s="178"/>
      <c r="H14" s="46"/>
      <c r="I14" s="44"/>
      <c r="J14" s="45" t="s">
        <v>28</v>
      </c>
      <c r="K14" s="179"/>
      <c r="L14" s="65" t="s">
        <v>24</v>
      </c>
      <c r="M14" s="45"/>
      <c r="N14" s="178" t="s">
        <v>24</v>
      </c>
      <c r="O14" s="163"/>
      <c r="P14" s="164"/>
      <c r="Q14" s="168"/>
      <c r="R14" s="167" t="s">
        <v>33</v>
      </c>
      <c r="S14" s="65"/>
      <c r="T14" s="45"/>
      <c r="U14" s="66"/>
      <c r="V14" s="46" t="s">
        <v>24</v>
      </c>
      <c r="W14" s="44" t="s">
        <v>24</v>
      </c>
      <c r="X14" s="48"/>
      <c r="Y14" s="65"/>
      <c r="Z14" s="65" t="s">
        <v>28</v>
      </c>
      <c r="AA14" s="48"/>
      <c r="AB14" s="65"/>
      <c r="AC14" s="46"/>
      <c r="AD14" s="44"/>
      <c r="AE14" s="99"/>
      <c r="AF14" s="179"/>
      <c r="AG14" s="65"/>
      <c r="AH14" s="45"/>
      <c r="AI14" s="178"/>
      <c r="AJ14" s="46"/>
      <c r="AK14" s="189"/>
      <c r="AL14" s="188"/>
      <c r="AM14" s="188"/>
      <c r="AN14" s="188"/>
      <c r="AO14" s="188"/>
      <c r="AP14" s="185"/>
      <c r="AQ14" s="224"/>
      <c r="AR14" s="173"/>
    </row>
    <row r="15" spans="1:44" ht="30" customHeight="1" x14ac:dyDescent="0.15">
      <c r="A15" s="238" t="s">
        <v>30</v>
      </c>
      <c r="B15" s="64" t="s">
        <v>5</v>
      </c>
      <c r="C15" s="61" t="s">
        <v>27</v>
      </c>
      <c r="D15" s="64" t="s">
        <v>27</v>
      </c>
      <c r="E15" s="61" t="s">
        <v>16</v>
      </c>
      <c r="F15" s="50" t="s">
        <v>5</v>
      </c>
      <c r="G15" s="52" t="s">
        <v>27</v>
      </c>
      <c r="H15" s="53" t="s">
        <v>27</v>
      </c>
      <c r="I15" s="63" t="s">
        <v>27</v>
      </c>
      <c r="J15" s="50" t="s">
        <v>16</v>
      </c>
      <c r="K15" s="51" t="s">
        <v>5</v>
      </c>
      <c r="L15" s="64" t="s">
        <v>5</v>
      </c>
      <c r="M15" s="50" t="s">
        <v>27</v>
      </c>
      <c r="N15" s="52" t="s">
        <v>27</v>
      </c>
      <c r="O15" s="53" t="s">
        <v>27</v>
      </c>
      <c r="P15" s="49" t="s">
        <v>27</v>
      </c>
      <c r="Q15" s="50" t="s">
        <v>5</v>
      </c>
      <c r="R15" s="50" t="s">
        <v>27</v>
      </c>
      <c r="S15" s="50" t="s">
        <v>27</v>
      </c>
      <c r="T15" s="50" t="s">
        <v>16</v>
      </c>
      <c r="U15" s="50" t="s">
        <v>16</v>
      </c>
      <c r="V15" s="56" t="s">
        <v>5</v>
      </c>
      <c r="W15" s="63" t="s">
        <v>5</v>
      </c>
      <c r="X15" s="61" t="s">
        <v>16</v>
      </c>
      <c r="Y15" s="64" t="s">
        <v>27</v>
      </c>
      <c r="Z15" s="52" t="s">
        <v>5</v>
      </c>
      <c r="AA15" s="50" t="s">
        <v>27</v>
      </c>
      <c r="AB15" s="51" t="s">
        <v>27</v>
      </c>
      <c r="AC15" s="67" t="s">
        <v>16</v>
      </c>
      <c r="AD15" s="64" t="s">
        <v>16</v>
      </c>
      <c r="AE15" s="92" t="s">
        <v>20</v>
      </c>
      <c r="AF15" s="64" t="s">
        <v>5</v>
      </c>
      <c r="AG15" s="61" t="s">
        <v>16</v>
      </c>
      <c r="AH15" s="50" t="s">
        <v>16</v>
      </c>
      <c r="AI15" s="52" t="s">
        <v>5</v>
      </c>
      <c r="AJ15" s="53" t="s">
        <v>27</v>
      </c>
      <c r="AK15" s="189" cm="1">
        <f t="array" ref="AK15">SUMPRODUCT(--(MONTH($B4:$AJ4)=5), --($B15:$AJ15="4/12"))</f>
        <v>0</v>
      </c>
      <c r="AL15" s="188" cm="1">
        <f t="array" ref="AL15">SUMPRODUCT(--(MONTH($B4:$AJ4)=5), --($B15:$AJ15="4:30 / 12:30"))</f>
        <v>13</v>
      </c>
      <c r="AM15" s="188" cm="1">
        <f t="array" ref="AM15">SUMPRODUCT(--(MONTH($B4:$AJ4)=5), --($B15:$AJ15="5/1"))</f>
        <v>0</v>
      </c>
      <c r="AN15" s="188" cm="1">
        <f t="array" ref="AN15">SUMPRODUCT(--(MONTH($B4:$AJ4)=5), --($B15:$AJ15="5:30 / 1:30"))</f>
        <v>0</v>
      </c>
      <c r="AO15" s="188" cm="1">
        <f t="array" ref="AO15">SUMPRODUCT(--(MONTH($B4:$AJ4)=5), --($B15:$AJ15="6/2"))</f>
        <v>0</v>
      </c>
      <c r="AP15" s="185" cm="1">
        <f t="array" ref="AP15">SUMPRODUCT(--(MONTH($B4:$AJ4)=5), --($B15:$AJ15="10/6"))</f>
        <v>8</v>
      </c>
      <c r="AQ15" s="224">
        <f t="shared" ref="AQ15" si="9">SUM(AK15:AN16)</f>
        <v>13</v>
      </c>
    </row>
    <row r="16" spans="1:44" s="4" customFormat="1" ht="12" customHeight="1" x14ac:dyDescent="0.15">
      <c r="A16" s="239"/>
      <c r="B16" s="177"/>
      <c r="C16" s="65"/>
      <c r="D16" s="179"/>
      <c r="E16" s="45"/>
      <c r="F16" s="45"/>
      <c r="G16" s="176" t="s">
        <v>28</v>
      </c>
      <c r="H16" s="46"/>
      <c r="I16" s="68"/>
      <c r="J16" s="45"/>
      <c r="K16" s="177"/>
      <c r="L16" s="45"/>
      <c r="M16" s="45" t="s">
        <v>28</v>
      </c>
      <c r="N16" s="176"/>
      <c r="O16" s="46"/>
      <c r="P16" s="44"/>
      <c r="Q16" s="179"/>
      <c r="R16" s="65"/>
      <c r="S16" s="48" t="s">
        <v>28</v>
      </c>
      <c r="T16" s="48"/>
      <c r="U16" s="45"/>
      <c r="V16" s="46"/>
      <c r="W16" s="44"/>
      <c r="X16" s="179"/>
      <c r="Y16" s="65"/>
      <c r="Z16" s="45"/>
      <c r="AA16" s="45" t="s">
        <v>28</v>
      </c>
      <c r="AB16" s="45"/>
      <c r="AC16" s="46"/>
      <c r="AD16" s="177"/>
      <c r="AE16" s="101"/>
      <c r="AF16" s="179"/>
      <c r="AG16" s="45"/>
      <c r="AH16" s="45"/>
      <c r="AI16" s="176"/>
      <c r="AJ16" s="46"/>
      <c r="AK16" s="189"/>
      <c r="AL16" s="188"/>
      <c r="AM16" s="188"/>
      <c r="AN16" s="188"/>
      <c r="AO16" s="188"/>
      <c r="AP16" s="185"/>
      <c r="AQ16" s="224"/>
      <c r="AR16" s="173"/>
    </row>
    <row r="17" spans="1:44" ht="30" customHeight="1" x14ac:dyDescent="0.15">
      <c r="A17" s="180" t="s">
        <v>31</v>
      </c>
      <c r="B17" s="64" t="s">
        <v>16</v>
      </c>
      <c r="C17" s="50" t="s">
        <v>5</v>
      </c>
      <c r="D17" s="64" t="s">
        <v>27</v>
      </c>
      <c r="E17" s="61" t="s">
        <v>27</v>
      </c>
      <c r="F17" s="61" t="s">
        <v>16</v>
      </c>
      <c r="G17" s="62" t="s">
        <v>19</v>
      </c>
      <c r="H17" s="53" t="s">
        <v>5</v>
      </c>
      <c r="I17" s="63" t="s">
        <v>5</v>
      </c>
      <c r="J17" s="50" t="s">
        <v>27</v>
      </c>
      <c r="K17" s="51" t="s">
        <v>16</v>
      </c>
      <c r="L17" s="64" t="s">
        <v>16</v>
      </c>
      <c r="M17" s="61" t="s">
        <v>27</v>
      </c>
      <c r="N17" s="62" t="s">
        <v>27</v>
      </c>
      <c r="O17" s="53" t="s">
        <v>5</v>
      </c>
      <c r="P17" s="49" t="s">
        <v>5</v>
      </c>
      <c r="Q17" s="51" t="s">
        <v>27</v>
      </c>
      <c r="R17" s="52" t="s">
        <v>27</v>
      </c>
      <c r="S17" s="61" t="s">
        <v>27</v>
      </c>
      <c r="T17" s="64" t="s">
        <v>27</v>
      </c>
      <c r="U17" s="50" t="s">
        <v>5</v>
      </c>
      <c r="V17" s="53" t="s">
        <v>16</v>
      </c>
      <c r="W17" s="49" t="s">
        <v>16</v>
      </c>
      <c r="X17" s="50" t="s">
        <v>27</v>
      </c>
      <c r="Y17" s="51" t="s">
        <v>27</v>
      </c>
      <c r="Z17" s="51" t="s">
        <v>16</v>
      </c>
      <c r="AA17" s="51" t="s">
        <v>5</v>
      </c>
      <c r="AB17" s="51" t="s">
        <v>5</v>
      </c>
      <c r="AC17" s="67" t="s">
        <v>27</v>
      </c>
      <c r="AD17" s="64" t="s">
        <v>27</v>
      </c>
      <c r="AE17" s="88" t="s">
        <v>16</v>
      </c>
      <c r="AF17" s="64" t="s">
        <v>16</v>
      </c>
      <c r="AG17" s="61" t="s">
        <v>5</v>
      </c>
      <c r="AH17" s="61" t="s">
        <v>27</v>
      </c>
      <c r="AI17" s="62" t="s">
        <v>27</v>
      </c>
      <c r="AJ17" s="53" t="s">
        <v>5</v>
      </c>
      <c r="AK17" s="189" cm="1">
        <f t="array" ref="AK17">SUMPRODUCT(--(MONTH($B4:$AJ4)=5), --($B17:$AJ17="4/12"))</f>
        <v>0</v>
      </c>
      <c r="AL17" s="188" cm="1">
        <f t="array" ref="AL17">SUMPRODUCT(--(MONTH($B4:$AJ4)=5), --($B17:$AJ17="4:30 / 12:30"))</f>
        <v>13</v>
      </c>
      <c r="AM17" s="188" cm="1">
        <f t="array" ref="AM17">SUMPRODUCT(--(MONTH($B4:$AJ4)=5), --($B17:$AJ17="5/1"))</f>
        <v>0</v>
      </c>
      <c r="AN17" s="188" cm="1">
        <f t="array" ref="AN17">SUMPRODUCT(--(MONTH($B4:$AJ4)=5), --($B17:$AJ17="5:30 / 1:30"))</f>
        <v>0</v>
      </c>
      <c r="AO17" s="188" cm="1">
        <f t="array" ref="AO17">SUMPRODUCT(--(MONTH($B4:$AJ4)=5), --($B17:$AJ17="6/2"))</f>
        <v>0</v>
      </c>
      <c r="AP17" s="185" cm="1">
        <f t="array" ref="AP17">SUMPRODUCT(--(MONTH($B4:$AJ4)=5), --($B17:$AJ17="10/6"))</f>
        <v>7</v>
      </c>
      <c r="AQ17" s="224">
        <f t="shared" ref="AQ17" si="10">SUM(AK17:AN18)</f>
        <v>13</v>
      </c>
    </row>
    <row r="18" spans="1:44" s="4" customFormat="1" ht="12" customHeight="1" x14ac:dyDescent="0.15">
      <c r="A18" s="169"/>
      <c r="B18" s="47"/>
      <c r="C18" s="48"/>
      <c r="D18" s="70" t="s">
        <v>28</v>
      </c>
      <c r="E18" s="66"/>
      <c r="F18" s="66"/>
      <c r="G18" s="71"/>
      <c r="H18" s="72"/>
      <c r="I18" s="69"/>
      <c r="J18" s="91"/>
      <c r="K18" s="70" t="s">
        <v>42</v>
      </c>
      <c r="L18" s="66"/>
      <c r="M18" s="66"/>
      <c r="N18" s="71" t="s">
        <v>28</v>
      </c>
      <c r="O18" s="72"/>
      <c r="P18" s="69"/>
      <c r="Q18" s="47" t="s">
        <v>28</v>
      </c>
      <c r="R18" s="66"/>
      <c r="S18" s="66"/>
      <c r="T18" s="65" t="s">
        <v>28</v>
      </c>
      <c r="U18" s="66"/>
      <c r="V18" s="72"/>
      <c r="W18" s="69"/>
      <c r="X18" s="47"/>
      <c r="Y18" s="66" t="s">
        <v>28</v>
      </c>
      <c r="Z18" s="66"/>
      <c r="AA18" s="66"/>
      <c r="AB18" s="66"/>
      <c r="AC18" s="46"/>
      <c r="AD18" s="47"/>
      <c r="AE18" s="96"/>
      <c r="AF18" s="70"/>
      <c r="AG18" s="66"/>
      <c r="AH18" s="66" t="s">
        <v>28</v>
      </c>
      <c r="AI18" s="71"/>
      <c r="AJ18" s="72"/>
      <c r="AK18" s="189"/>
      <c r="AL18" s="188"/>
      <c r="AM18" s="188"/>
      <c r="AN18" s="188"/>
      <c r="AO18" s="188"/>
      <c r="AP18" s="185"/>
      <c r="AQ18" s="224"/>
      <c r="AR18" s="173"/>
    </row>
    <row r="19" spans="1:44" s="4" customFormat="1" ht="30" customHeight="1" x14ac:dyDescent="0.15">
      <c r="A19" s="180" t="s">
        <v>32</v>
      </c>
      <c r="B19" s="49" t="s">
        <v>5</v>
      </c>
      <c r="C19" s="50" t="s">
        <v>15</v>
      </c>
      <c r="D19" s="50" t="s">
        <v>16</v>
      </c>
      <c r="E19" s="50" t="s">
        <v>27</v>
      </c>
      <c r="F19" s="61" t="s">
        <v>5</v>
      </c>
      <c r="G19" s="73" t="s">
        <v>13</v>
      </c>
      <c r="H19" s="53" t="s">
        <v>11</v>
      </c>
      <c r="I19" s="49" t="s">
        <v>11</v>
      </c>
      <c r="J19" s="50" t="s">
        <v>5</v>
      </c>
      <c r="K19" s="50" t="s">
        <v>13</v>
      </c>
      <c r="L19" s="50" t="s">
        <v>27</v>
      </c>
      <c r="M19" s="61" t="s">
        <v>15</v>
      </c>
      <c r="N19" s="73" t="s">
        <v>27</v>
      </c>
      <c r="O19" s="53" t="s">
        <v>5</v>
      </c>
      <c r="P19" s="49" t="s">
        <v>5</v>
      </c>
      <c r="Q19" s="50" t="s">
        <v>16</v>
      </c>
      <c r="R19" s="50" t="s">
        <v>16</v>
      </c>
      <c r="S19" s="50" t="s">
        <v>16</v>
      </c>
      <c r="T19" s="64" t="s">
        <v>27</v>
      </c>
      <c r="U19" s="64" t="s">
        <v>19</v>
      </c>
      <c r="V19" s="53" t="s">
        <v>5</v>
      </c>
      <c r="W19" s="49" t="s">
        <v>5</v>
      </c>
      <c r="X19" s="50" t="s">
        <v>9</v>
      </c>
      <c r="Y19" s="50" t="s">
        <v>9</v>
      </c>
      <c r="Z19" s="52" t="s">
        <v>9</v>
      </c>
      <c r="AA19" s="50" t="s">
        <v>9</v>
      </c>
      <c r="AB19" s="64" t="s">
        <v>9</v>
      </c>
      <c r="AC19" s="53" t="s">
        <v>5</v>
      </c>
      <c r="AD19" s="49" t="s">
        <v>5</v>
      </c>
      <c r="AE19" s="88" t="s">
        <v>20</v>
      </c>
      <c r="AF19" s="50" t="s">
        <v>9</v>
      </c>
      <c r="AG19" s="50" t="s">
        <v>9</v>
      </c>
      <c r="AH19" s="61" t="s">
        <v>9</v>
      </c>
      <c r="AI19" s="73" t="s">
        <v>9</v>
      </c>
      <c r="AJ19" s="53" t="s">
        <v>5</v>
      </c>
      <c r="AK19" s="189" cm="1">
        <f t="array" ref="AK19">SUMPRODUCT(--(MONTH($B4:$AJ4)=5), --($B19:$AJ19="4/12"))</f>
        <v>2</v>
      </c>
      <c r="AL19" s="188" cm="1">
        <f t="array" ref="AL19">SUMPRODUCT(--(MONTH($B4:$AJ4)=5), --($B19:$AJ19="4:30 / 12:30"))</f>
        <v>3</v>
      </c>
      <c r="AM19" s="188" cm="1">
        <f t="array" ref="AM19">SUMPRODUCT(--(MONTH($B4:$AJ4)=5), --($B19:$AJ19="5/1"))</f>
        <v>2</v>
      </c>
      <c r="AN19" s="188" cm="1">
        <f t="array" ref="AN19">SUMPRODUCT(--(MONTH($B4:$AJ4)=5), --($B19:$AJ19="5:30 / 1:30"))</f>
        <v>0</v>
      </c>
      <c r="AO19" s="188" cm="1">
        <f t="array" ref="AO19">SUMPRODUCT(--(MONTH($B4:$AJ4)=5), --($B19:$AJ19="6/2"))</f>
        <v>1</v>
      </c>
      <c r="AP19" s="185" cm="1">
        <f t="array" ref="AP19">SUMPRODUCT(--(MONTH($B4:$AJ4)=5), --($B19:$AJ19="10/6"))</f>
        <v>3</v>
      </c>
      <c r="AQ19" s="224">
        <f t="shared" ref="AQ19" si="11">SUM(AK19:AN20)</f>
        <v>7</v>
      </c>
      <c r="AR19" s="173"/>
    </row>
    <row r="20" spans="1:44" s="4" customFormat="1" ht="12" customHeight="1" x14ac:dyDescent="0.15">
      <c r="A20" s="169"/>
      <c r="B20" s="69"/>
      <c r="C20" s="48"/>
      <c r="D20" s="47"/>
      <c r="E20" s="48" t="s">
        <v>28</v>
      </c>
      <c r="F20" s="70"/>
      <c r="G20" s="74" t="s">
        <v>33</v>
      </c>
      <c r="H20" s="72"/>
      <c r="I20" s="69"/>
      <c r="J20" s="48"/>
      <c r="K20" s="47" t="s">
        <v>33</v>
      </c>
      <c r="L20" s="48" t="s">
        <v>28</v>
      </c>
      <c r="M20" s="70"/>
      <c r="N20" s="74"/>
      <c r="O20" s="165"/>
      <c r="P20" s="166"/>
      <c r="Q20" s="75"/>
      <c r="R20" s="159"/>
      <c r="S20" s="48"/>
      <c r="T20" s="70"/>
      <c r="U20" s="70" t="s">
        <v>24</v>
      </c>
      <c r="V20" s="72"/>
      <c r="W20" s="69"/>
      <c r="X20" s="75"/>
      <c r="Y20" s="48"/>
      <c r="Z20" s="48"/>
      <c r="AA20" s="70"/>
      <c r="AB20" s="70"/>
      <c r="AC20" s="72"/>
      <c r="AD20" s="69"/>
      <c r="AE20" s="96"/>
      <c r="AF20" s="47"/>
      <c r="AG20" s="48"/>
      <c r="AH20" s="70"/>
      <c r="AI20" s="74"/>
      <c r="AJ20" s="72"/>
      <c r="AK20" s="189"/>
      <c r="AL20" s="188"/>
      <c r="AM20" s="188"/>
      <c r="AN20" s="188"/>
      <c r="AO20" s="188"/>
      <c r="AP20" s="185"/>
      <c r="AQ20" s="224"/>
      <c r="AR20" s="173"/>
    </row>
    <row r="21" spans="1:44" ht="20" customHeight="1" x14ac:dyDescent="0.15">
      <c r="A21" s="170" t="s">
        <v>34</v>
      </c>
      <c r="B21" s="49" t="s">
        <v>13</v>
      </c>
      <c r="C21" s="50" t="s">
        <v>5</v>
      </c>
      <c r="D21" s="51" t="s">
        <v>13</v>
      </c>
      <c r="E21" s="50" t="s">
        <v>13</v>
      </c>
      <c r="F21" s="51" t="s">
        <v>13</v>
      </c>
      <c r="G21" s="54" t="s">
        <v>13</v>
      </c>
      <c r="H21" s="53" t="s">
        <v>5</v>
      </c>
      <c r="I21" s="49" t="s">
        <v>5</v>
      </c>
      <c r="J21" s="50" t="s">
        <v>13</v>
      </c>
      <c r="K21" s="51" t="s">
        <v>13</v>
      </c>
      <c r="L21" s="50" t="s">
        <v>13</v>
      </c>
      <c r="M21" s="51" t="s">
        <v>13</v>
      </c>
      <c r="N21" s="54" t="s">
        <v>5</v>
      </c>
      <c r="O21" s="53" t="s">
        <v>13</v>
      </c>
      <c r="P21" s="49" t="s">
        <v>13</v>
      </c>
      <c r="Q21" s="54" t="s">
        <v>13</v>
      </c>
      <c r="R21" s="50" t="s">
        <v>5</v>
      </c>
      <c r="S21" s="50" t="s">
        <v>5</v>
      </c>
      <c r="T21" s="51" t="s">
        <v>13</v>
      </c>
      <c r="U21" s="51" t="s">
        <v>13</v>
      </c>
      <c r="V21" s="53" t="s">
        <v>13</v>
      </c>
      <c r="W21" s="49" t="s">
        <v>13</v>
      </c>
      <c r="X21" s="54" t="s">
        <v>5</v>
      </c>
      <c r="Y21" s="50" t="s">
        <v>13</v>
      </c>
      <c r="Z21" s="50" t="s">
        <v>13</v>
      </c>
      <c r="AA21" s="51" t="s">
        <v>13</v>
      </c>
      <c r="AB21" s="51" t="s">
        <v>5</v>
      </c>
      <c r="AC21" s="53" t="s">
        <v>13</v>
      </c>
      <c r="AD21" s="49" t="s">
        <v>13</v>
      </c>
      <c r="AE21" s="88" t="s">
        <v>13</v>
      </c>
      <c r="AF21" s="51" t="s">
        <v>13</v>
      </c>
      <c r="AG21" s="50" t="s">
        <v>5</v>
      </c>
      <c r="AH21" s="51" t="s">
        <v>13</v>
      </c>
      <c r="AI21" s="54" t="s">
        <v>13</v>
      </c>
      <c r="AJ21" s="53" t="s">
        <v>5</v>
      </c>
      <c r="AK21" s="189" cm="1">
        <f t="array" ref="AK21">SUMPRODUCT(--(MONTH($B4:$AJ4)=5), --($B21:$AJ21="4/12"))</f>
        <v>0</v>
      </c>
      <c r="AL21" s="188" cm="1">
        <f t="array" ref="AL21">SUMPRODUCT(--(MONTH($B4:$AJ4)=5), --($B21:$AJ21="4:30 / 12:30"))</f>
        <v>0</v>
      </c>
      <c r="AM21" s="188" cm="1">
        <f t="array" ref="AM21">SUMPRODUCT(--(MONTH($B4:$AJ4)=5), --($B21:$AJ21="5/1"))</f>
        <v>21</v>
      </c>
      <c r="AN21" s="188" cm="1">
        <f t="array" ref="AN21">SUMPRODUCT(--(MONTH($B4:$AJ4)=5), --($B21:$AJ21="5:30 / 1:30"))</f>
        <v>0</v>
      </c>
      <c r="AO21" s="188" cm="1">
        <f t="array" ref="AO21">SUMPRODUCT(--(MONTH($B4:$AJ4)=5), --($B21:$AJ21="6/2"))</f>
        <v>0</v>
      </c>
      <c r="AP21" s="186" cm="1">
        <f t="array" ref="AP21">SUMPRODUCT(--(MONTH($B4:$AJ4)=5), --($B21:$AJ21="10/6"))</f>
        <v>0</v>
      </c>
      <c r="AQ21" s="224">
        <f t="shared" ref="AQ21" si="12">SUM(AK21:AN22)</f>
        <v>21</v>
      </c>
    </row>
    <row r="22" spans="1:44" ht="12" customHeight="1" thickBot="1" x14ac:dyDescent="0.2">
      <c r="A22" s="98"/>
      <c r="B22" s="22"/>
      <c r="C22" s="23"/>
      <c r="D22" s="23"/>
      <c r="E22" s="23"/>
      <c r="F22" s="23"/>
      <c r="G22" s="23"/>
      <c r="H22" s="24"/>
      <c r="I22" s="22"/>
      <c r="J22" s="23"/>
      <c r="K22" s="23"/>
      <c r="L22" s="23"/>
      <c r="M22" s="23"/>
      <c r="N22" s="23"/>
      <c r="O22" s="24"/>
      <c r="P22" s="25"/>
      <c r="Q22" s="23"/>
      <c r="R22" s="23"/>
      <c r="S22" s="23"/>
      <c r="T22" s="21"/>
      <c r="U22" s="23"/>
      <c r="V22" s="24"/>
      <c r="W22" s="22"/>
      <c r="X22" s="23"/>
      <c r="Y22" s="21"/>
      <c r="Z22" s="21"/>
      <c r="AA22" s="21"/>
      <c r="AB22" s="21"/>
      <c r="AC22" s="24"/>
      <c r="AD22" s="22"/>
      <c r="AE22" s="89"/>
      <c r="AF22" s="23"/>
      <c r="AG22" s="23"/>
      <c r="AH22" s="23"/>
      <c r="AI22" s="23"/>
      <c r="AJ22" s="24"/>
      <c r="AK22" s="190"/>
      <c r="AL22" s="191"/>
      <c r="AM22" s="191"/>
      <c r="AN22" s="191"/>
      <c r="AO22" s="191"/>
      <c r="AP22" s="187"/>
      <c r="AQ22" s="225"/>
    </row>
    <row r="23" spans="1:44" ht="42" customHeight="1" thickTop="1" x14ac:dyDescent="0.15">
      <c r="A23" s="106" t="s">
        <v>35</v>
      </c>
      <c r="B23" s="106"/>
      <c r="C23" s="106"/>
      <c r="D23" s="106"/>
      <c r="E23" s="106"/>
      <c r="F23" s="106"/>
      <c r="G23" s="106"/>
      <c r="H23" s="106"/>
      <c r="I23" s="106"/>
      <c r="J23" s="135"/>
      <c r="K23" s="106"/>
      <c r="L23" s="106"/>
      <c r="M23" s="106"/>
      <c r="N23" s="135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</row>
    <row r="24" spans="1:44" x14ac:dyDescent="0.15">
      <c r="A24" s="17" t="s">
        <v>36</v>
      </c>
      <c r="N24" s="198"/>
      <c r="O24" s="199"/>
      <c r="P24" s="199"/>
      <c r="U24" s="200"/>
      <c r="V24" s="200"/>
      <c r="W24" s="201"/>
      <c r="X24" s="202"/>
      <c r="Y24" s="202"/>
      <c r="Z24" s="202"/>
      <c r="AA24" s="202"/>
      <c r="AB24" s="202"/>
      <c r="AC24" s="202"/>
    </row>
    <row r="25" spans="1:44" ht="15" customHeight="1" x14ac:dyDescent="0.15">
      <c r="A25" s="17" t="s">
        <v>37</v>
      </c>
    </row>
    <row r="27" spans="1:44" x14ac:dyDescent="0.15">
      <c r="A27" s="5" t="s">
        <v>11</v>
      </c>
      <c r="B27" s="8">
        <f>COUNTIF(B5:B21,"4/12")</f>
        <v>1</v>
      </c>
      <c r="C27" s="8">
        <f t="shared" ref="C27:AJ27" si="13">COUNTIF(C5:C21,"4/12")</f>
        <v>1</v>
      </c>
      <c r="D27" s="8">
        <f t="shared" si="13"/>
        <v>1</v>
      </c>
      <c r="E27" s="8">
        <f t="shared" si="13"/>
        <v>1</v>
      </c>
      <c r="F27" s="8">
        <f t="shared" si="13"/>
        <v>1</v>
      </c>
      <c r="G27" s="8">
        <f t="shared" si="13"/>
        <v>1</v>
      </c>
      <c r="H27" s="8">
        <f t="shared" si="13"/>
        <v>1</v>
      </c>
      <c r="I27" s="8">
        <f t="shared" si="13"/>
        <v>1</v>
      </c>
      <c r="J27" s="8">
        <f t="shared" si="13"/>
        <v>1</v>
      </c>
      <c r="K27" s="8">
        <f t="shared" si="13"/>
        <v>1</v>
      </c>
      <c r="L27" s="8">
        <f t="shared" si="13"/>
        <v>1</v>
      </c>
      <c r="M27" s="8">
        <f t="shared" si="13"/>
        <v>1</v>
      </c>
      <c r="N27" s="8">
        <f t="shared" si="13"/>
        <v>1</v>
      </c>
      <c r="O27" s="8">
        <f t="shared" si="13"/>
        <v>1</v>
      </c>
      <c r="P27" s="8">
        <f t="shared" si="13"/>
        <v>1</v>
      </c>
      <c r="Q27" s="8">
        <f t="shared" si="13"/>
        <v>1</v>
      </c>
      <c r="R27" s="8">
        <f t="shared" si="13"/>
        <v>1</v>
      </c>
      <c r="S27" s="8">
        <f t="shared" si="13"/>
        <v>1</v>
      </c>
      <c r="T27" s="8">
        <f t="shared" si="13"/>
        <v>1</v>
      </c>
      <c r="U27" s="8">
        <f t="shared" si="13"/>
        <v>1</v>
      </c>
      <c r="V27" s="8">
        <f t="shared" si="13"/>
        <v>1</v>
      </c>
      <c r="W27" s="8">
        <f t="shared" si="13"/>
        <v>1</v>
      </c>
      <c r="X27" s="8">
        <f t="shared" si="13"/>
        <v>1</v>
      </c>
      <c r="Y27" s="8">
        <f t="shared" si="13"/>
        <v>1</v>
      </c>
      <c r="Z27" s="8">
        <f t="shared" si="13"/>
        <v>1</v>
      </c>
      <c r="AA27" s="8">
        <f t="shared" si="13"/>
        <v>1</v>
      </c>
      <c r="AB27" s="8">
        <f t="shared" si="13"/>
        <v>1</v>
      </c>
      <c r="AC27" s="8">
        <f t="shared" si="13"/>
        <v>1</v>
      </c>
      <c r="AD27" s="8">
        <f t="shared" si="13"/>
        <v>1</v>
      </c>
      <c r="AE27" s="8">
        <f t="shared" si="13"/>
        <v>1</v>
      </c>
      <c r="AF27" s="8">
        <f t="shared" si="13"/>
        <v>1</v>
      </c>
      <c r="AG27" s="8">
        <f t="shared" si="13"/>
        <v>1</v>
      </c>
      <c r="AH27" s="8">
        <f t="shared" si="13"/>
        <v>1</v>
      </c>
      <c r="AI27" s="8">
        <f t="shared" si="13"/>
        <v>1</v>
      </c>
      <c r="AJ27" s="8">
        <f t="shared" si="13"/>
        <v>1</v>
      </c>
    </row>
    <row r="28" spans="1:44" ht="13" thickBot="1" x14ac:dyDescent="0.2">
      <c r="A28" s="5" t="s">
        <v>27</v>
      </c>
      <c r="B28" s="26">
        <f>COUNTIF(B5:B21,"4:30 / 12:30")</f>
        <v>1</v>
      </c>
      <c r="C28" s="26">
        <f t="shared" ref="C28:AJ28" si="14">COUNTIF(C5:C21,"4:30 / 12:30")</f>
        <v>2</v>
      </c>
      <c r="D28" s="26">
        <f t="shared" si="14"/>
        <v>2</v>
      </c>
      <c r="E28" s="26">
        <f t="shared" si="14"/>
        <v>2</v>
      </c>
      <c r="F28" s="26">
        <f t="shared" si="14"/>
        <v>1</v>
      </c>
      <c r="G28" s="26">
        <f t="shared" si="14"/>
        <v>2</v>
      </c>
      <c r="H28" s="26">
        <f t="shared" si="14"/>
        <v>2</v>
      </c>
      <c r="I28" s="26">
        <f t="shared" si="14"/>
        <v>2</v>
      </c>
      <c r="J28" s="26">
        <f t="shared" si="14"/>
        <v>2</v>
      </c>
      <c r="K28" s="26">
        <f t="shared" si="14"/>
        <v>2</v>
      </c>
      <c r="L28" s="26">
        <f t="shared" si="14"/>
        <v>2</v>
      </c>
      <c r="M28" s="26">
        <f t="shared" si="14"/>
        <v>2</v>
      </c>
      <c r="N28" s="26">
        <f t="shared" si="14"/>
        <v>3</v>
      </c>
      <c r="O28" s="26">
        <f t="shared" si="14"/>
        <v>1</v>
      </c>
      <c r="P28" s="26">
        <f t="shared" si="14"/>
        <v>1</v>
      </c>
      <c r="Q28" s="26">
        <f t="shared" si="14"/>
        <v>2</v>
      </c>
      <c r="R28" s="26">
        <f t="shared" si="14"/>
        <v>3</v>
      </c>
      <c r="S28" s="26">
        <f t="shared" si="14"/>
        <v>3</v>
      </c>
      <c r="T28" s="26">
        <f t="shared" si="14"/>
        <v>2</v>
      </c>
      <c r="U28" s="26">
        <f t="shared" si="14"/>
        <v>2</v>
      </c>
      <c r="V28" s="26">
        <f t="shared" si="14"/>
        <v>1</v>
      </c>
      <c r="W28" s="26">
        <f t="shared" si="14"/>
        <v>1</v>
      </c>
      <c r="X28" s="26">
        <f t="shared" si="14"/>
        <v>2</v>
      </c>
      <c r="Y28" s="26">
        <f t="shared" si="14"/>
        <v>2</v>
      </c>
      <c r="Z28" s="26">
        <f t="shared" si="14"/>
        <v>2</v>
      </c>
      <c r="AA28" s="26">
        <f t="shared" si="14"/>
        <v>2</v>
      </c>
      <c r="AB28" s="26">
        <f t="shared" si="14"/>
        <v>2</v>
      </c>
      <c r="AC28" s="26">
        <f t="shared" si="14"/>
        <v>1</v>
      </c>
      <c r="AD28" s="26">
        <f t="shared" si="14"/>
        <v>1</v>
      </c>
      <c r="AE28" s="26">
        <f t="shared" si="14"/>
        <v>1</v>
      </c>
      <c r="AF28" s="26">
        <f t="shared" si="14"/>
        <v>1</v>
      </c>
      <c r="AG28" s="26">
        <f t="shared" si="14"/>
        <v>2</v>
      </c>
      <c r="AH28" s="26">
        <f t="shared" si="14"/>
        <v>2</v>
      </c>
      <c r="AI28" s="26">
        <f t="shared" si="14"/>
        <v>2</v>
      </c>
      <c r="AJ28" s="26">
        <f t="shared" si="14"/>
        <v>2</v>
      </c>
    </row>
    <row r="29" spans="1:44" ht="13" thickTop="1" x14ac:dyDescent="0.15">
      <c r="A29" s="27" t="s">
        <v>13</v>
      </c>
      <c r="B29" s="8">
        <f t="shared" ref="B29:AJ29" si="15">COUNTIF(B5:B21,"5/1")</f>
        <v>1</v>
      </c>
      <c r="C29" s="8">
        <f t="shared" si="15"/>
        <v>1</v>
      </c>
      <c r="D29" s="8">
        <f t="shared" si="15"/>
        <v>2</v>
      </c>
      <c r="E29" s="8">
        <f t="shared" si="15"/>
        <v>2</v>
      </c>
      <c r="F29" s="8">
        <f t="shared" si="15"/>
        <v>2</v>
      </c>
      <c r="G29" s="8">
        <f t="shared" si="15"/>
        <v>2</v>
      </c>
      <c r="H29" s="8">
        <f t="shared" si="15"/>
        <v>0</v>
      </c>
      <c r="I29" s="8">
        <f t="shared" si="15"/>
        <v>0</v>
      </c>
      <c r="J29" s="8">
        <f t="shared" si="15"/>
        <v>2</v>
      </c>
      <c r="K29" s="8">
        <f t="shared" si="15"/>
        <v>2</v>
      </c>
      <c r="L29" s="8">
        <f t="shared" si="15"/>
        <v>2</v>
      </c>
      <c r="M29" s="8">
        <f t="shared" si="15"/>
        <v>2</v>
      </c>
      <c r="N29" s="8">
        <f t="shared" si="15"/>
        <v>0</v>
      </c>
      <c r="O29" s="8">
        <f t="shared" si="15"/>
        <v>1</v>
      </c>
      <c r="P29" s="8">
        <f t="shared" si="15"/>
        <v>1</v>
      </c>
      <c r="Q29" s="8">
        <f t="shared" si="15"/>
        <v>2</v>
      </c>
      <c r="R29" s="8">
        <f t="shared" si="15"/>
        <v>1</v>
      </c>
      <c r="S29" s="8">
        <f t="shared" si="15"/>
        <v>0</v>
      </c>
      <c r="T29" s="8">
        <f t="shared" si="15"/>
        <v>1</v>
      </c>
      <c r="U29" s="8">
        <f t="shared" si="15"/>
        <v>2</v>
      </c>
      <c r="V29" s="8">
        <f t="shared" si="15"/>
        <v>1</v>
      </c>
      <c r="W29" s="8">
        <f t="shared" si="15"/>
        <v>1</v>
      </c>
      <c r="X29" s="8">
        <f t="shared" si="15"/>
        <v>0</v>
      </c>
      <c r="Y29" s="8">
        <f t="shared" si="15"/>
        <v>2</v>
      </c>
      <c r="Z29" s="8">
        <f t="shared" si="15"/>
        <v>2</v>
      </c>
      <c r="AA29" s="8">
        <f t="shared" si="15"/>
        <v>1</v>
      </c>
      <c r="AB29" s="8">
        <f t="shared" si="15"/>
        <v>0</v>
      </c>
      <c r="AC29" s="8">
        <f t="shared" si="15"/>
        <v>1</v>
      </c>
      <c r="AD29" s="8">
        <f t="shared" si="15"/>
        <v>1</v>
      </c>
      <c r="AE29" s="8">
        <f t="shared" si="15"/>
        <v>1</v>
      </c>
      <c r="AF29" s="8">
        <f t="shared" si="15"/>
        <v>1</v>
      </c>
      <c r="AG29" s="8">
        <f t="shared" si="15"/>
        <v>0</v>
      </c>
      <c r="AH29" s="8">
        <f t="shared" si="15"/>
        <v>1</v>
      </c>
      <c r="AI29" s="8">
        <f t="shared" si="15"/>
        <v>1</v>
      </c>
      <c r="AJ29" s="8">
        <f t="shared" si="15"/>
        <v>0</v>
      </c>
    </row>
    <row r="30" spans="1:44" ht="13" thickBot="1" x14ac:dyDescent="0.2">
      <c r="A30" s="28" t="s">
        <v>38</v>
      </c>
      <c r="B30" s="26">
        <f>COUNTIF(B6:B23,"5:30 / 1:30")</f>
        <v>0</v>
      </c>
      <c r="C30" s="26">
        <f t="shared" ref="C30:AJ30" si="16">COUNTIF(C6:C23,"5:30 / 1:30")</f>
        <v>0</v>
      </c>
      <c r="D30" s="26">
        <f t="shared" si="16"/>
        <v>0</v>
      </c>
      <c r="E30" s="26">
        <f t="shared" si="16"/>
        <v>0</v>
      </c>
      <c r="F30" s="26">
        <f t="shared" si="16"/>
        <v>0</v>
      </c>
      <c r="G30" s="26">
        <f t="shared" si="16"/>
        <v>0</v>
      </c>
      <c r="H30" s="26">
        <f t="shared" si="16"/>
        <v>0</v>
      </c>
      <c r="I30" s="26">
        <f t="shared" si="16"/>
        <v>0</v>
      </c>
      <c r="J30" s="26">
        <f t="shared" si="16"/>
        <v>0</v>
      </c>
      <c r="K30" s="26">
        <f t="shared" si="16"/>
        <v>0</v>
      </c>
      <c r="L30" s="26">
        <f t="shared" si="16"/>
        <v>0</v>
      </c>
      <c r="M30" s="26">
        <f t="shared" si="16"/>
        <v>0</v>
      </c>
      <c r="N30" s="26">
        <f t="shared" si="16"/>
        <v>0</v>
      </c>
      <c r="O30" s="26">
        <f t="shared" si="16"/>
        <v>0</v>
      </c>
      <c r="P30" s="26">
        <f t="shared" si="16"/>
        <v>0</v>
      </c>
      <c r="Q30" s="26">
        <f t="shared" si="16"/>
        <v>0</v>
      </c>
      <c r="R30" s="26">
        <f t="shared" si="16"/>
        <v>0</v>
      </c>
      <c r="S30" s="26">
        <f t="shared" si="16"/>
        <v>0</v>
      </c>
      <c r="T30" s="26">
        <f t="shared" si="16"/>
        <v>0</v>
      </c>
      <c r="U30" s="26">
        <f t="shared" si="16"/>
        <v>0</v>
      </c>
      <c r="V30" s="26">
        <f t="shared" si="16"/>
        <v>0</v>
      </c>
      <c r="W30" s="26">
        <f t="shared" si="16"/>
        <v>0</v>
      </c>
      <c r="X30" s="26">
        <f t="shared" si="16"/>
        <v>0</v>
      </c>
      <c r="Y30" s="26">
        <f t="shared" si="16"/>
        <v>0</v>
      </c>
      <c r="Z30" s="26">
        <f t="shared" si="16"/>
        <v>0</v>
      </c>
      <c r="AA30" s="26">
        <f t="shared" si="16"/>
        <v>0</v>
      </c>
      <c r="AB30" s="26">
        <f t="shared" si="16"/>
        <v>0</v>
      </c>
      <c r="AC30" s="26">
        <f t="shared" si="16"/>
        <v>0</v>
      </c>
      <c r="AD30" s="26">
        <f t="shared" si="16"/>
        <v>0</v>
      </c>
      <c r="AE30" s="26">
        <f t="shared" si="16"/>
        <v>0</v>
      </c>
      <c r="AF30" s="26">
        <f t="shared" si="16"/>
        <v>0</v>
      </c>
      <c r="AG30" s="26">
        <f t="shared" si="16"/>
        <v>0</v>
      </c>
      <c r="AH30" s="26">
        <f t="shared" si="16"/>
        <v>0</v>
      </c>
      <c r="AI30" s="26">
        <f t="shared" si="16"/>
        <v>0</v>
      </c>
      <c r="AJ30" s="26">
        <f t="shared" si="16"/>
        <v>0</v>
      </c>
    </row>
    <row r="31" spans="1:44" s="8" customFormat="1" ht="13" thickTop="1" x14ac:dyDescent="0.15">
      <c r="A31" s="5" t="s">
        <v>15</v>
      </c>
      <c r="B31" s="8">
        <f t="shared" ref="B31:AJ31" si="17">COUNTIF(B5:B21,"6/2")</f>
        <v>1</v>
      </c>
      <c r="C31" s="8">
        <f t="shared" si="17"/>
        <v>1</v>
      </c>
      <c r="D31" s="8">
        <f t="shared" si="17"/>
        <v>1</v>
      </c>
      <c r="E31" s="8">
        <f t="shared" si="17"/>
        <v>1</v>
      </c>
      <c r="F31" s="8">
        <f t="shared" si="17"/>
        <v>1</v>
      </c>
      <c r="G31" s="8">
        <f t="shared" si="17"/>
        <v>1</v>
      </c>
      <c r="H31" s="8">
        <f t="shared" si="17"/>
        <v>1</v>
      </c>
      <c r="I31" s="8">
        <f t="shared" si="17"/>
        <v>1</v>
      </c>
      <c r="J31" s="8">
        <f t="shared" si="17"/>
        <v>1</v>
      </c>
      <c r="K31" s="8">
        <f t="shared" si="17"/>
        <v>1</v>
      </c>
      <c r="L31" s="8">
        <f t="shared" si="17"/>
        <v>1</v>
      </c>
      <c r="M31" s="8">
        <f t="shared" si="17"/>
        <v>1</v>
      </c>
      <c r="N31" s="8">
        <f t="shared" si="17"/>
        <v>1</v>
      </c>
      <c r="O31" s="8">
        <f t="shared" si="17"/>
        <v>1</v>
      </c>
      <c r="P31" s="8">
        <f t="shared" si="17"/>
        <v>1</v>
      </c>
      <c r="Q31" s="8">
        <f t="shared" si="17"/>
        <v>1</v>
      </c>
      <c r="R31" s="8">
        <f t="shared" si="17"/>
        <v>1</v>
      </c>
      <c r="S31" s="8">
        <f t="shared" si="17"/>
        <v>1</v>
      </c>
      <c r="T31" s="8">
        <f t="shared" si="17"/>
        <v>1</v>
      </c>
      <c r="U31" s="8">
        <f t="shared" si="17"/>
        <v>1</v>
      </c>
      <c r="V31" s="8">
        <f t="shared" si="17"/>
        <v>1</v>
      </c>
      <c r="W31" s="8">
        <f t="shared" si="17"/>
        <v>1</v>
      </c>
      <c r="X31" s="8">
        <f t="shared" si="17"/>
        <v>1</v>
      </c>
      <c r="Y31" s="8">
        <f t="shared" si="17"/>
        <v>1</v>
      </c>
      <c r="Z31" s="8">
        <f t="shared" si="17"/>
        <v>1</v>
      </c>
      <c r="AA31" s="8">
        <f t="shared" si="17"/>
        <v>1</v>
      </c>
      <c r="AB31" s="8">
        <f t="shared" si="17"/>
        <v>1</v>
      </c>
      <c r="AC31" s="8">
        <f t="shared" si="17"/>
        <v>1</v>
      </c>
      <c r="AD31" s="8">
        <f t="shared" si="17"/>
        <v>1</v>
      </c>
      <c r="AE31" s="8">
        <f t="shared" si="17"/>
        <v>1</v>
      </c>
      <c r="AF31" s="8">
        <f t="shared" si="17"/>
        <v>1</v>
      </c>
      <c r="AG31" s="8">
        <f t="shared" si="17"/>
        <v>1</v>
      </c>
      <c r="AH31" s="8">
        <f t="shared" si="17"/>
        <v>1</v>
      </c>
      <c r="AI31" s="8">
        <f t="shared" si="17"/>
        <v>1</v>
      </c>
      <c r="AJ31" s="8">
        <f t="shared" si="17"/>
        <v>1</v>
      </c>
    </row>
    <row r="32" spans="1:44" s="8" customFormat="1" x14ac:dyDescent="0.15">
      <c r="A32" s="5" t="s">
        <v>16</v>
      </c>
      <c r="B32" s="8">
        <f t="shared" ref="B32:AJ32" si="18">COUNTIF(B5:B21,"10/6")</f>
        <v>1</v>
      </c>
      <c r="C32" s="8">
        <f t="shared" si="18"/>
        <v>1</v>
      </c>
      <c r="D32" s="8">
        <f t="shared" si="18"/>
        <v>1</v>
      </c>
      <c r="E32" s="8">
        <f t="shared" si="18"/>
        <v>1</v>
      </c>
      <c r="F32" s="8">
        <f t="shared" si="18"/>
        <v>1</v>
      </c>
      <c r="G32" s="8">
        <f t="shared" si="18"/>
        <v>1</v>
      </c>
      <c r="H32" s="8">
        <f t="shared" si="18"/>
        <v>1</v>
      </c>
      <c r="I32" s="8">
        <f t="shared" si="18"/>
        <v>1</v>
      </c>
      <c r="J32" s="8">
        <f t="shared" si="18"/>
        <v>1</v>
      </c>
      <c r="K32" s="8">
        <f t="shared" si="18"/>
        <v>1</v>
      </c>
      <c r="L32" s="8">
        <f t="shared" si="18"/>
        <v>1</v>
      </c>
      <c r="M32" s="8">
        <f t="shared" si="18"/>
        <v>1</v>
      </c>
      <c r="N32" s="8">
        <f t="shared" si="18"/>
        <v>1</v>
      </c>
      <c r="O32" s="8">
        <f t="shared" si="18"/>
        <v>1</v>
      </c>
      <c r="P32" s="8">
        <f t="shared" si="18"/>
        <v>1</v>
      </c>
      <c r="Q32" s="8">
        <f t="shared" si="18"/>
        <v>1</v>
      </c>
      <c r="R32" s="8">
        <f t="shared" si="18"/>
        <v>1</v>
      </c>
      <c r="S32" s="8">
        <f t="shared" si="18"/>
        <v>1</v>
      </c>
      <c r="T32" s="8">
        <f t="shared" si="18"/>
        <v>1</v>
      </c>
      <c r="U32" s="8">
        <f t="shared" si="18"/>
        <v>1</v>
      </c>
      <c r="V32" s="8">
        <f t="shared" si="18"/>
        <v>1</v>
      </c>
      <c r="W32" s="8">
        <f t="shared" si="18"/>
        <v>1</v>
      </c>
      <c r="X32" s="8">
        <f t="shared" si="18"/>
        <v>1</v>
      </c>
      <c r="Y32" s="8">
        <f t="shared" si="18"/>
        <v>1</v>
      </c>
      <c r="Z32" s="8">
        <f t="shared" si="18"/>
        <v>1</v>
      </c>
      <c r="AA32" s="8">
        <f t="shared" si="18"/>
        <v>1</v>
      </c>
      <c r="AB32" s="8">
        <f t="shared" si="18"/>
        <v>1</v>
      </c>
      <c r="AC32" s="8">
        <f t="shared" si="18"/>
        <v>1</v>
      </c>
      <c r="AD32" s="8">
        <f t="shared" si="18"/>
        <v>1</v>
      </c>
      <c r="AE32" s="8">
        <f t="shared" si="18"/>
        <v>1</v>
      </c>
      <c r="AF32" s="8">
        <f t="shared" si="18"/>
        <v>1</v>
      </c>
      <c r="AG32" s="8">
        <f t="shared" si="18"/>
        <v>1</v>
      </c>
      <c r="AH32" s="8">
        <f t="shared" si="18"/>
        <v>1</v>
      </c>
      <c r="AI32" s="8">
        <f t="shared" si="18"/>
        <v>1</v>
      </c>
      <c r="AJ32" s="8">
        <f t="shared" si="18"/>
        <v>1</v>
      </c>
    </row>
    <row r="33" spans="1:8" s="8" customFormat="1" x14ac:dyDescent="0.15">
      <c r="A33" s="6"/>
    </row>
    <row r="34" spans="1:8" s="8" customFormat="1" x14ac:dyDescent="0.15">
      <c r="A34" s="6"/>
      <c r="B34" s="199"/>
      <c r="C34" s="199"/>
      <c r="D34" s="199"/>
      <c r="E34" s="199"/>
      <c r="F34" s="199"/>
      <c r="G34" s="199"/>
      <c r="H34" s="199"/>
    </row>
    <row r="35" spans="1:8" s="8" customFormat="1" x14ac:dyDescent="0.15">
      <c r="A35" s="6"/>
      <c r="B35" s="199"/>
      <c r="C35" s="199"/>
      <c r="D35" s="199"/>
      <c r="E35" s="199"/>
      <c r="F35" s="199"/>
      <c r="G35" s="199"/>
      <c r="H35" s="199"/>
    </row>
    <row r="36" spans="1:8" s="8" customFormat="1" x14ac:dyDescent="0.15">
      <c r="A36" s="6"/>
      <c r="B36" s="199"/>
      <c r="C36" s="199"/>
      <c r="D36" s="199"/>
      <c r="E36" s="199"/>
      <c r="F36" s="199"/>
      <c r="G36" s="199"/>
      <c r="H36" s="199"/>
    </row>
    <row r="37" spans="1:8" s="8" customFormat="1" x14ac:dyDescent="0.15">
      <c r="A37" s="6"/>
      <c r="B37" s="199"/>
      <c r="C37" s="199"/>
      <c r="D37" s="199"/>
      <c r="E37" s="199"/>
      <c r="F37" s="199"/>
      <c r="G37" s="199"/>
      <c r="H37" s="199"/>
    </row>
    <row r="38" spans="1:8" s="8" customFormat="1" x14ac:dyDescent="0.15">
      <c r="A38" s="6"/>
      <c r="B38" s="199"/>
      <c r="C38" s="199"/>
      <c r="D38" s="199"/>
      <c r="E38" s="199"/>
      <c r="F38" s="199"/>
      <c r="G38" s="199"/>
      <c r="H38" s="199"/>
    </row>
    <row r="39" spans="1:8" s="8" customFormat="1" x14ac:dyDescent="0.15">
      <c r="A39" s="6"/>
      <c r="B39" s="199"/>
      <c r="C39" s="199"/>
      <c r="D39" s="199"/>
      <c r="E39" s="199"/>
      <c r="F39" s="199"/>
      <c r="G39" s="199"/>
      <c r="H39" s="199"/>
    </row>
    <row r="40" spans="1:8" s="8" customFormat="1" x14ac:dyDescent="0.15">
      <c r="A40" s="6"/>
      <c r="B40" s="199"/>
      <c r="C40" s="199"/>
      <c r="D40" s="199"/>
      <c r="E40" s="199"/>
      <c r="F40" s="199"/>
      <c r="G40" s="199"/>
      <c r="H40" s="199"/>
    </row>
    <row r="41" spans="1:8" s="8" customFormat="1" x14ac:dyDescent="0.15">
      <c r="A41" s="6"/>
      <c r="B41" s="199"/>
      <c r="C41" s="199"/>
      <c r="D41" s="199"/>
      <c r="E41" s="199"/>
      <c r="F41" s="199"/>
      <c r="G41" s="199"/>
      <c r="H41" s="199"/>
    </row>
    <row r="42" spans="1:8" s="8" customFormat="1" x14ac:dyDescent="0.15">
      <c r="A42" s="6"/>
      <c r="B42" s="199"/>
      <c r="C42" s="199"/>
      <c r="D42" s="199"/>
      <c r="E42" s="199"/>
      <c r="F42" s="199"/>
      <c r="G42" s="199"/>
      <c r="H42" s="199"/>
    </row>
  </sheetData>
  <mergeCells count="88">
    <mergeCell ref="AP3:AP4"/>
    <mergeCell ref="AQ3:AQ4"/>
    <mergeCell ref="A5:A6"/>
    <mergeCell ref="AK5:AK6"/>
    <mergeCell ref="AL5:AL6"/>
    <mergeCell ref="AM5:AM6"/>
    <mergeCell ref="AN5:AN6"/>
    <mergeCell ref="AO5:AO6"/>
    <mergeCell ref="AP5:AP6"/>
    <mergeCell ref="AQ5:AQ6"/>
    <mergeCell ref="A3:A4"/>
    <mergeCell ref="AK3:AK4"/>
    <mergeCell ref="AL3:AL4"/>
    <mergeCell ref="AM3:AM4"/>
    <mergeCell ref="AN3:AN4"/>
    <mergeCell ref="AO3:AO4"/>
    <mergeCell ref="A7:A8"/>
    <mergeCell ref="AK7:AK8"/>
    <mergeCell ref="AL7:AL8"/>
    <mergeCell ref="AM7:AM8"/>
    <mergeCell ref="AN7:AN8"/>
    <mergeCell ref="AP7:AP8"/>
    <mergeCell ref="AQ7:AQ8"/>
    <mergeCell ref="AK9:AK10"/>
    <mergeCell ref="AL9:AL10"/>
    <mergeCell ref="AM9:AM10"/>
    <mergeCell ref="AN9:AN10"/>
    <mergeCell ref="AO9:AO10"/>
    <mergeCell ref="AP9:AP10"/>
    <mergeCell ref="AQ9:AQ10"/>
    <mergeCell ref="AO7:AO8"/>
    <mergeCell ref="AP11:AP12"/>
    <mergeCell ref="AQ11:AQ12"/>
    <mergeCell ref="A13:A14"/>
    <mergeCell ref="AK13:AK14"/>
    <mergeCell ref="AL13:AL14"/>
    <mergeCell ref="AM13:AM14"/>
    <mergeCell ref="AN13:AN14"/>
    <mergeCell ref="AO13:AO14"/>
    <mergeCell ref="AP13:AP14"/>
    <mergeCell ref="AQ13:AQ14"/>
    <mergeCell ref="A11:A12"/>
    <mergeCell ref="AK11:AK12"/>
    <mergeCell ref="AL11:AL12"/>
    <mergeCell ref="AM11:AM12"/>
    <mergeCell ref="AN11:AN12"/>
    <mergeCell ref="AO11:AO12"/>
    <mergeCell ref="AP15:AP16"/>
    <mergeCell ref="AQ15:AQ16"/>
    <mergeCell ref="AK17:AK18"/>
    <mergeCell ref="AL17:AL18"/>
    <mergeCell ref="AM17:AM18"/>
    <mergeCell ref="AN17:AN18"/>
    <mergeCell ref="AO17:AO18"/>
    <mergeCell ref="AP17:AP18"/>
    <mergeCell ref="AQ17:AQ18"/>
    <mergeCell ref="AO15:AO16"/>
    <mergeCell ref="A15:A16"/>
    <mergeCell ref="AK15:AK16"/>
    <mergeCell ref="AL15:AL16"/>
    <mergeCell ref="AM15:AM16"/>
    <mergeCell ref="AN15:AN16"/>
    <mergeCell ref="AQ19:AQ20"/>
    <mergeCell ref="AK21:AK22"/>
    <mergeCell ref="AL21:AL22"/>
    <mergeCell ref="AM21:AM22"/>
    <mergeCell ref="AN21:AN22"/>
    <mergeCell ref="AO21:AO22"/>
    <mergeCell ref="AP21:AP22"/>
    <mergeCell ref="AQ21:AQ22"/>
    <mergeCell ref="AK19:AK20"/>
    <mergeCell ref="AL19:AL20"/>
    <mergeCell ref="AM19:AM20"/>
    <mergeCell ref="AN19:AN20"/>
    <mergeCell ref="AO19:AO20"/>
    <mergeCell ref="AP19:AP20"/>
    <mergeCell ref="N24:P24"/>
    <mergeCell ref="U24:V24"/>
    <mergeCell ref="W24:AC24"/>
    <mergeCell ref="B34:H34"/>
    <mergeCell ref="B42:H42"/>
    <mergeCell ref="B36:H36"/>
    <mergeCell ref="B37:H37"/>
    <mergeCell ref="B38:H38"/>
    <mergeCell ref="B39:H39"/>
    <mergeCell ref="B40:H40"/>
    <mergeCell ref="B41:H41"/>
    <mergeCell ref="B35:H35"/>
  </mergeCells>
  <conditionalFormatting sqref="A27:XFD32">
    <cfRule type="cellIs" dxfId="42" priority="42" operator="equal">
      <formula>1</formula>
    </cfRule>
  </conditionalFormatting>
  <conditionalFormatting sqref="A31:XFD31">
    <cfRule type="cellIs" dxfId="41" priority="39" operator="equal">
      <formula>2</formula>
    </cfRule>
  </conditionalFormatting>
  <conditionalFormatting sqref="A34:XFD42">
    <cfRule type="cellIs" dxfId="40" priority="37" operator="equal">
      <formula>1</formula>
    </cfRule>
    <cfRule type="cellIs" dxfId="39" priority="38" operator="equal">
      <formula>2</formula>
    </cfRule>
  </conditionalFormatting>
  <conditionalFormatting sqref="I5:AJ5 I7:AJ7 I9:AJ9 I11:AJ11 I13:AJ13 I15:AJ15 I17:AJ17 I19:AJ19 I21:AJ21">
    <cfRule type="containsText" dxfId="38" priority="19" operator="containsText" text="5:30 / 1:30">
      <formula>NOT(ISERROR(SEARCH("5:30 / 1:30",I5)))</formula>
    </cfRule>
    <cfRule type="containsText" dxfId="37" priority="20" operator="containsText" text="ENF">
      <formula>NOT(ISERROR(SEARCH("ENF",I5)))</formula>
    </cfRule>
    <cfRule type="containsText" dxfId="36" priority="21" operator="containsText" text="10/6">
      <formula>NOT(ISERROR(SEARCH("10/6",I5)))</formula>
    </cfRule>
    <cfRule type="containsText" dxfId="35" priority="22" operator="containsText" text="6/2">
      <formula>NOT(ISERROR(SEARCH("6/2",I5)))</formula>
    </cfRule>
    <cfRule type="containsText" dxfId="34" priority="23" operator="containsText" text="5/1">
      <formula>NOT(ISERROR(SEARCH("5/1",I5)))</formula>
    </cfRule>
  </conditionalFormatting>
  <conditionalFormatting sqref="I5:AJ5 I7:AJ7 I9:AJ9 I11:AJ11 I13:AJ13 I15:AJ15 I17:AJ17 I19:AJ19">
    <cfRule type="containsText" dxfId="33" priority="24" operator="containsText" text="4:30 / 12:30">
      <formula>NOT(ISERROR(SEARCH("4:30 / 12:30",I5)))</formula>
    </cfRule>
    <cfRule type="containsText" dxfId="32" priority="25" operator="containsText" text="4/12">
      <formula>NOT(ISERROR(SEARCH("4/12",I5)))</formula>
    </cfRule>
  </conditionalFormatting>
  <conditionalFormatting sqref="I5:AJ22">
    <cfRule type="containsText" dxfId="31" priority="26" operator="containsText" text="V">
      <formula>NOT(ISERROR(SEARCH("V",I5)))</formula>
    </cfRule>
    <cfRule type="containsText" dxfId="30" priority="27" operator="containsText" text="L">
      <formula>NOT(ISERROR(SEARCH("L",I5)))</formula>
    </cfRule>
  </conditionalFormatting>
  <conditionalFormatting sqref="B27:AJ32">
    <cfRule type="cellIs" dxfId="29" priority="40" operator="equal">
      <formula>0</formula>
    </cfRule>
    <cfRule type="cellIs" dxfId="28" priority="41" operator="equal">
      <formula>2</formula>
    </cfRule>
  </conditionalFormatting>
  <conditionalFormatting sqref="B22:H22">
    <cfRule type="containsText" dxfId="27" priority="17" operator="containsText" text="V">
      <formula>NOT(ISERROR(SEARCH("V",B22)))</formula>
    </cfRule>
    <cfRule type="containsText" dxfId="26" priority="18" operator="containsText" text="L">
      <formula>NOT(ISERROR(SEARCH("L",B22)))</formula>
    </cfRule>
  </conditionalFormatting>
  <conditionalFormatting sqref="B5:H5 B7:H7 B9:H9 B11:H11 B13:H13 B15:H15 B17:H17 B19:H19 B21:H21">
    <cfRule type="containsText" dxfId="25" priority="1" operator="containsText" text="5:30 / 1:30">
      <formula>NOT(ISERROR(SEARCH("5:30 / 1:30",B5)))</formula>
    </cfRule>
    <cfRule type="containsText" dxfId="24" priority="2" operator="containsText" text="ENF">
      <formula>NOT(ISERROR(SEARCH("ENF",B5)))</formula>
    </cfRule>
    <cfRule type="containsText" dxfId="23" priority="3" operator="containsText" text="10/6">
      <formula>NOT(ISERROR(SEARCH("10/6",B5)))</formula>
    </cfRule>
    <cfRule type="containsText" dxfId="22" priority="4" operator="containsText" text="6/2">
      <formula>NOT(ISERROR(SEARCH("6/2",B5)))</formula>
    </cfRule>
    <cfRule type="containsText" dxfId="21" priority="5" operator="containsText" text="5/1">
      <formula>NOT(ISERROR(SEARCH("5/1",B5)))</formula>
    </cfRule>
  </conditionalFormatting>
  <conditionalFormatting sqref="B5:H5 B7:H7 B9:H9 B11:H11 B13:H13 B15:H15 B17:H17 B19:H19">
    <cfRule type="containsText" dxfId="20" priority="6" operator="containsText" text="4:30 / 12:30">
      <formula>NOT(ISERROR(SEARCH("4:30 / 12:30",B5)))</formula>
    </cfRule>
    <cfRule type="containsText" dxfId="19" priority="7" operator="containsText" text="4/12">
      <formula>NOT(ISERROR(SEARCH("4/12",B5)))</formula>
    </cfRule>
  </conditionalFormatting>
  <conditionalFormatting sqref="B5:H21">
    <cfRule type="containsText" dxfId="18" priority="8" operator="containsText" text="V">
      <formula>NOT(ISERROR(SEARCH("V",B5)))</formula>
    </cfRule>
    <cfRule type="containsText" dxfId="17" priority="9" operator="containsText" text="L">
      <formula>NOT(ISERROR(SEARCH("L",B5)))</formula>
    </cfRule>
  </conditionalFormatting>
  <printOptions horizontalCentered="1" verticalCentered="1"/>
  <pageMargins left="0.15" right="0.15" top="0.5" bottom="0.5" header="0.3" footer="0.3"/>
  <pageSetup scale="80" fitToWidth="0" fitToHeight="0" orientation="landscape" r:id="rId1"/>
  <headerFooter>
    <oddFooter>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BAE5C9A-70A3-4333-BB0E-21DB0DF8CB4E}">
          <x14:formula1>
            <xm:f>Leyenda!$A$4:$A$19</xm:f>
          </x14:formula1>
          <xm:sqref>I21:AJ21 I19:AJ19 I17:AJ17 I15:AJ15 I13:AJ13 I11:AJ11 I7:AJ7 I9:AJ9 I5:AJ5</xm:sqref>
        </x14:dataValidation>
        <x14:dataValidation type="list" allowBlank="1" showInputMessage="1" showErrorMessage="1" xr:uid="{47616C04-4799-4001-B9C1-971E87D15E9C}">
          <x14:formula1>
            <xm:f>Leyenda!$A$4:$A$15</xm:f>
          </x14:formula1>
          <xm:sqref>B21:H21 B19:H19 B17:H17 B15:H15 B13:H13 B11:H11 B7:H7 B9:H9 B5:H5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B6D61-873D-445A-B2C2-C12393890E13}">
  <sheetPr codeName="Sheet10"/>
  <dimension ref="A4:A20"/>
  <sheetViews>
    <sheetView workbookViewId="0">
      <selection activeCell="E23" sqref="E23"/>
    </sheetView>
  </sheetViews>
  <sheetFormatPr baseColWidth="10" defaultColWidth="8.83203125" defaultRowHeight="15" x14ac:dyDescent="0.2"/>
  <cols>
    <col min="1" max="1" width="10" style="19" bestFit="1" customWidth="1"/>
  </cols>
  <sheetData>
    <row r="4" spans="1:1" x14ac:dyDescent="0.2">
      <c r="A4" s="19" t="s">
        <v>11</v>
      </c>
    </row>
    <row r="5" spans="1:1" x14ac:dyDescent="0.2">
      <c r="A5" s="19" t="s">
        <v>27</v>
      </c>
    </row>
    <row r="6" spans="1:1" x14ac:dyDescent="0.2">
      <c r="A6" s="19" t="s">
        <v>13</v>
      </c>
    </row>
    <row r="7" spans="1:1" x14ac:dyDescent="0.2">
      <c r="A7" s="19" t="s">
        <v>38</v>
      </c>
    </row>
    <row r="8" spans="1:1" x14ac:dyDescent="0.2">
      <c r="A8" s="19" t="s">
        <v>15</v>
      </c>
    </row>
    <row r="9" spans="1:1" x14ac:dyDescent="0.2">
      <c r="A9" s="19" t="s">
        <v>16</v>
      </c>
    </row>
    <row r="10" spans="1:1" x14ac:dyDescent="0.2">
      <c r="A10" s="19" t="s">
        <v>45</v>
      </c>
    </row>
    <row r="11" spans="1:1" x14ac:dyDescent="0.2">
      <c r="A11" s="19" t="s">
        <v>5</v>
      </c>
    </row>
    <row r="12" spans="1:1" x14ac:dyDescent="0.2">
      <c r="A12" s="19" t="s">
        <v>9</v>
      </c>
    </row>
    <row r="13" spans="1:1" x14ac:dyDescent="0.2">
      <c r="A13" s="19" t="s">
        <v>19</v>
      </c>
    </row>
    <row r="14" spans="1:1" x14ac:dyDescent="0.2">
      <c r="A14" s="19" t="s">
        <v>20</v>
      </c>
    </row>
    <row r="15" spans="1:1" x14ac:dyDescent="0.2">
      <c r="A15" s="19" t="s">
        <v>23</v>
      </c>
    </row>
    <row r="16" spans="1:1" x14ac:dyDescent="0.2">
      <c r="A16" s="19" t="s">
        <v>22</v>
      </c>
    </row>
    <row r="17" spans="1:1" x14ac:dyDescent="0.2">
      <c r="A17" s="19" t="s">
        <v>46</v>
      </c>
    </row>
    <row r="18" spans="1:1" x14ac:dyDescent="0.2">
      <c r="A18" s="19" t="s">
        <v>47</v>
      </c>
    </row>
    <row r="19" spans="1:1" x14ac:dyDescent="0.2">
      <c r="A19" s="19" t="s">
        <v>48</v>
      </c>
    </row>
    <row r="20" spans="1:1" x14ac:dyDescent="0.2">
      <c r="A20" s="19" t="s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53A6E-53C5-4F78-88E2-BDFC6AEA59FD}">
  <sheetPr codeName="Sheet22"/>
  <dimension ref="A1:AS42"/>
  <sheetViews>
    <sheetView zoomScaleNormal="100" zoomScaleSheetLayoutView="12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9" sqref="F9"/>
    </sheetView>
  </sheetViews>
  <sheetFormatPr baseColWidth="10" defaultColWidth="9.1640625" defaultRowHeight="12" x14ac:dyDescent="0.15"/>
  <cols>
    <col min="1" max="1" width="22.1640625" style="2" customWidth="1"/>
    <col min="2" max="2" width="8.5" style="2" customWidth="1"/>
    <col min="3" max="6" width="8.5" style="8" customWidth="1"/>
    <col min="7" max="7" width="8.5" style="8" bestFit="1" customWidth="1"/>
    <col min="8" max="10" width="7.83203125" style="8" bestFit="1" customWidth="1"/>
    <col min="11" max="11" width="8.5" style="8" bestFit="1" customWidth="1"/>
    <col min="12" max="12" width="8.1640625" style="8" bestFit="1" customWidth="1"/>
    <col min="13" max="16" width="8.5" style="8" bestFit="1" customWidth="1"/>
    <col min="17" max="37" width="8.33203125" style="8" customWidth="1"/>
    <col min="38" max="38" width="7" style="8" bestFit="1" customWidth="1"/>
    <col min="39" max="39" width="6" style="8" bestFit="1" customWidth="1"/>
    <col min="40" max="40" width="4.5" style="8" bestFit="1" customWidth="1"/>
    <col min="41" max="41" width="6" style="8" bestFit="1" customWidth="1"/>
    <col min="42" max="42" width="4.83203125" style="8" bestFit="1" customWidth="1"/>
    <col min="43" max="43" width="5.6640625" style="8" bestFit="1" customWidth="1"/>
    <col min="44" max="44" width="13.33203125" style="8" customWidth="1"/>
    <col min="45" max="45" width="9.1640625" style="8"/>
    <col min="46" max="16384" width="9.1640625" style="2"/>
  </cols>
  <sheetData>
    <row r="1" spans="1:45" ht="30" x14ac:dyDescent="0.15">
      <c r="A1" s="18" t="s">
        <v>0</v>
      </c>
      <c r="B1" s="18"/>
      <c r="D1" s="15"/>
      <c r="K1" s="173"/>
      <c r="L1" s="15"/>
      <c r="R1" s="173"/>
      <c r="AA1" s="173"/>
      <c r="AC1" s="16"/>
      <c r="AG1" s="15"/>
      <c r="AH1" s="3"/>
      <c r="AI1" s="15"/>
    </row>
    <row r="2" spans="1:45" ht="21.75" customHeight="1" thickBot="1" x14ac:dyDescent="0.25">
      <c r="A2" s="1" t="s">
        <v>44</v>
      </c>
      <c r="B2" s="1"/>
      <c r="C2" s="29"/>
      <c r="D2" s="173" t="s">
        <v>2</v>
      </c>
      <c r="E2" s="29"/>
      <c r="F2" s="29"/>
      <c r="G2" s="29"/>
      <c r="H2" s="93"/>
      <c r="I2" s="29"/>
      <c r="J2" s="29"/>
      <c r="K2" s="30"/>
      <c r="L2" s="29"/>
      <c r="M2" s="38"/>
      <c r="N2" s="29"/>
      <c r="O2" s="29"/>
      <c r="P2" s="29"/>
      <c r="Q2" s="29"/>
      <c r="S2" s="29"/>
      <c r="T2" s="29"/>
      <c r="U2" s="29"/>
      <c r="V2" s="29"/>
      <c r="W2" s="29"/>
      <c r="X2" s="29"/>
      <c r="Y2" s="85"/>
      <c r="Z2" s="29"/>
      <c r="AA2" s="29"/>
      <c r="AB2" s="29"/>
      <c r="AC2" s="133"/>
      <c r="AD2" s="29"/>
      <c r="AE2" s="29"/>
      <c r="AF2" s="29"/>
      <c r="AG2" s="29"/>
      <c r="AH2" s="29"/>
      <c r="AI2" s="29"/>
      <c r="AJ2" s="133"/>
      <c r="AK2" s="29"/>
      <c r="AR2" s="7"/>
    </row>
    <row r="3" spans="1:45" ht="17.25" customHeight="1" thickTop="1" x14ac:dyDescent="0.15">
      <c r="A3" s="219" t="s">
        <v>3</v>
      </c>
      <c r="B3" s="126" t="s">
        <v>10</v>
      </c>
      <c r="C3" s="10" t="s">
        <v>4</v>
      </c>
      <c r="D3" s="125" t="s">
        <v>5</v>
      </c>
      <c r="E3" s="11" t="s">
        <v>6</v>
      </c>
      <c r="F3" s="9" t="s">
        <v>7</v>
      </c>
      <c r="G3" s="9" t="s">
        <v>8</v>
      </c>
      <c r="H3" s="94" t="s">
        <v>9</v>
      </c>
      <c r="I3" s="12" t="s">
        <v>10</v>
      </c>
      <c r="J3" s="10" t="s">
        <v>4</v>
      </c>
      <c r="K3" s="13" t="s">
        <v>5</v>
      </c>
      <c r="L3" s="11" t="s">
        <v>6</v>
      </c>
      <c r="M3" s="9" t="s">
        <v>7</v>
      </c>
      <c r="N3" s="9" t="s">
        <v>8</v>
      </c>
      <c r="O3" s="94" t="s">
        <v>9</v>
      </c>
      <c r="P3" s="12" t="s">
        <v>10</v>
      </c>
      <c r="Q3" s="76" t="s">
        <v>4</v>
      </c>
      <c r="R3" s="77" t="s">
        <v>5</v>
      </c>
      <c r="S3" s="78" t="s">
        <v>6</v>
      </c>
      <c r="T3" s="78" t="s">
        <v>7</v>
      </c>
      <c r="U3" s="78" t="s">
        <v>8</v>
      </c>
      <c r="V3" s="78" t="s">
        <v>9</v>
      </c>
      <c r="W3" s="79" t="s">
        <v>10</v>
      </c>
      <c r="X3" s="76" t="s">
        <v>4</v>
      </c>
      <c r="Y3" s="77" t="s">
        <v>5</v>
      </c>
      <c r="Z3" s="78" t="s">
        <v>6</v>
      </c>
      <c r="AA3" s="78" t="s">
        <v>7</v>
      </c>
      <c r="AB3" s="78" t="s">
        <v>8</v>
      </c>
      <c r="AC3" s="78" t="s">
        <v>9</v>
      </c>
      <c r="AD3" s="79" t="s">
        <v>10</v>
      </c>
      <c r="AE3" s="76" t="s">
        <v>4</v>
      </c>
      <c r="AF3" s="80" t="s">
        <v>5</v>
      </c>
      <c r="AG3" s="81" t="s">
        <v>6</v>
      </c>
      <c r="AH3" s="82" t="s">
        <v>7</v>
      </c>
      <c r="AI3" s="82" t="s">
        <v>8</v>
      </c>
      <c r="AJ3" s="83" t="s">
        <v>9</v>
      </c>
      <c r="AK3" s="84" t="s">
        <v>10</v>
      </c>
      <c r="AL3" s="221" t="s">
        <v>11</v>
      </c>
      <c r="AM3" s="211" t="s">
        <v>12</v>
      </c>
      <c r="AN3" s="211" t="s">
        <v>13</v>
      </c>
      <c r="AO3" s="211" t="s">
        <v>14</v>
      </c>
      <c r="AP3" s="211" t="s">
        <v>15</v>
      </c>
      <c r="AQ3" s="192" t="s">
        <v>16</v>
      </c>
      <c r="AR3" s="231" t="s">
        <v>17</v>
      </c>
    </row>
    <row r="4" spans="1:45" ht="13" thickBot="1" x14ac:dyDescent="0.2">
      <c r="A4" s="220"/>
      <c r="B4" s="31">
        <v>45716</v>
      </c>
      <c r="C4" s="31">
        <v>45717</v>
      </c>
      <c r="D4" s="127">
        <f t="shared" ref="D4:P4" si="0">C4+1</f>
        <v>45718</v>
      </c>
      <c r="E4" s="32">
        <f t="shared" si="0"/>
        <v>45719</v>
      </c>
      <c r="F4" s="32">
        <f t="shared" si="0"/>
        <v>45720</v>
      </c>
      <c r="G4" s="32">
        <f t="shared" si="0"/>
        <v>45721</v>
      </c>
      <c r="H4" s="32">
        <f t="shared" si="0"/>
        <v>45722</v>
      </c>
      <c r="I4" s="32">
        <f t="shared" si="0"/>
        <v>45723</v>
      </c>
      <c r="J4" s="33">
        <f t="shared" si="0"/>
        <v>45724</v>
      </c>
      <c r="K4" s="34">
        <f t="shared" si="0"/>
        <v>45725</v>
      </c>
      <c r="L4" s="34">
        <f t="shared" si="0"/>
        <v>45726</v>
      </c>
      <c r="M4" s="34">
        <f t="shared" si="0"/>
        <v>45727</v>
      </c>
      <c r="N4" s="34">
        <f t="shared" si="0"/>
        <v>45728</v>
      </c>
      <c r="O4" s="34">
        <f t="shared" si="0"/>
        <v>45729</v>
      </c>
      <c r="P4" s="36">
        <f t="shared" si="0"/>
        <v>45730</v>
      </c>
      <c r="Q4" s="33">
        <f>P4+1</f>
        <v>45731</v>
      </c>
      <c r="R4" s="34">
        <f t="shared" ref="R4:W4" si="1">Q4+1</f>
        <v>45732</v>
      </c>
      <c r="S4" s="34">
        <f t="shared" si="1"/>
        <v>45733</v>
      </c>
      <c r="T4" s="34">
        <f t="shared" si="1"/>
        <v>45734</v>
      </c>
      <c r="U4" s="34">
        <f t="shared" si="1"/>
        <v>45735</v>
      </c>
      <c r="V4" s="34">
        <f t="shared" si="1"/>
        <v>45736</v>
      </c>
      <c r="W4" s="36">
        <f t="shared" si="1"/>
        <v>45737</v>
      </c>
      <c r="X4" s="33">
        <f>W4+1</f>
        <v>45738</v>
      </c>
      <c r="Y4" s="34">
        <f t="shared" ref="Y4:AD4" si="2">X4+1</f>
        <v>45739</v>
      </c>
      <c r="Z4" s="34">
        <f t="shared" si="2"/>
        <v>45740</v>
      </c>
      <c r="AA4" s="34">
        <f t="shared" si="2"/>
        <v>45741</v>
      </c>
      <c r="AB4" s="34">
        <f t="shared" si="2"/>
        <v>45742</v>
      </c>
      <c r="AC4" s="34">
        <f t="shared" si="2"/>
        <v>45743</v>
      </c>
      <c r="AD4" s="36">
        <f t="shared" si="2"/>
        <v>45744</v>
      </c>
      <c r="AE4" s="33">
        <f>AD4+1</f>
        <v>45745</v>
      </c>
      <c r="AF4" s="34">
        <f t="shared" ref="AF4:AK4" si="3">AE4+1</f>
        <v>45746</v>
      </c>
      <c r="AG4" s="34">
        <f t="shared" si="3"/>
        <v>45747</v>
      </c>
      <c r="AH4" s="34">
        <f t="shared" si="3"/>
        <v>45748</v>
      </c>
      <c r="AI4" s="34">
        <f t="shared" si="3"/>
        <v>45749</v>
      </c>
      <c r="AJ4" s="34">
        <f t="shared" si="3"/>
        <v>45750</v>
      </c>
      <c r="AK4" s="35">
        <f t="shared" si="3"/>
        <v>45751</v>
      </c>
      <c r="AL4" s="222"/>
      <c r="AM4" s="212"/>
      <c r="AN4" s="212"/>
      <c r="AO4" s="212"/>
      <c r="AP4" s="212"/>
      <c r="AQ4" s="193"/>
      <c r="AR4" s="232"/>
    </row>
    <row r="5" spans="1:45" ht="30" customHeight="1" thickTop="1" x14ac:dyDescent="0.15">
      <c r="A5" s="254" t="s">
        <v>49</v>
      </c>
      <c r="B5" s="39"/>
      <c r="C5" s="39"/>
      <c r="D5" s="108"/>
      <c r="E5" s="41"/>
      <c r="F5" s="40"/>
      <c r="G5" s="40"/>
      <c r="H5" s="42"/>
      <c r="I5" s="43"/>
      <c r="J5" s="39"/>
      <c r="K5" s="40"/>
      <c r="L5" s="41"/>
      <c r="M5" s="40"/>
      <c r="N5" s="40"/>
      <c r="O5" s="42"/>
      <c r="P5" s="43"/>
      <c r="Q5" s="39"/>
      <c r="R5" s="40"/>
      <c r="S5" s="40"/>
      <c r="T5" s="40"/>
      <c r="U5" s="40"/>
      <c r="V5" s="40"/>
      <c r="W5" s="43"/>
      <c r="X5" s="39"/>
      <c r="Y5" s="41"/>
      <c r="Z5" s="42"/>
      <c r="AA5" s="40"/>
      <c r="AB5" s="41"/>
      <c r="AC5" s="40"/>
      <c r="AD5" s="43"/>
      <c r="AE5" s="39"/>
      <c r="AF5" s="40"/>
      <c r="AG5" s="41"/>
      <c r="AH5" s="40"/>
      <c r="AI5" s="40"/>
      <c r="AJ5" s="42"/>
      <c r="AK5" s="43"/>
      <c r="AL5" s="214" cm="1">
        <f t="array" ref="AL5">SUMPRODUCT(--(MONTH($B4:$AF4)=3), --($B5:$AF5="4/12"))</f>
        <v>0</v>
      </c>
      <c r="AM5" s="216" cm="1">
        <f t="array" ref="AM5">SUMPRODUCT(--(MONTH($C4:$AK4)=3), --($C5:$AK5="4:30 / 12:30"))</f>
        <v>0</v>
      </c>
      <c r="AN5" s="218" cm="1">
        <f t="array" ref="AN5">SUMPRODUCT(--(MONTH($B4:$AF4)=3), --($B5:$AF5="5/1"))</f>
        <v>0</v>
      </c>
      <c r="AO5" s="218" cm="1">
        <f t="array" ref="AO5">SUMPRODUCT(--(MONTH($B4:$AF4)=3), --($B5:$AF5="5:30 / 1:30"))</f>
        <v>0</v>
      </c>
      <c r="AP5" s="218" cm="1">
        <f t="array" ref="AP5">SUMPRODUCT(--(MONTH($B4:$AF4)=3), --($B5:$AF5="6/2"))</f>
        <v>0</v>
      </c>
      <c r="AQ5" s="194" cm="1">
        <f t="array" ref="AQ5">SUMPRODUCT(--(MONTH($B4:$AF4)=3), --($B5:$AF5="10/6"))</f>
        <v>0</v>
      </c>
      <c r="AR5" s="250">
        <f>SUM(AL5:AO6)</f>
        <v>0</v>
      </c>
      <c r="AS5" s="7"/>
    </row>
    <row r="6" spans="1:45" s="4" customFormat="1" ht="12" customHeight="1" x14ac:dyDescent="0.15">
      <c r="A6" s="252"/>
      <c r="B6" s="44"/>
      <c r="C6" s="44"/>
      <c r="D6" s="115"/>
      <c r="E6" s="177"/>
      <c r="F6" s="45"/>
      <c r="G6" s="45"/>
      <c r="H6" s="176"/>
      <c r="I6" s="46"/>
      <c r="J6" s="44"/>
      <c r="K6" s="45"/>
      <c r="L6" s="177"/>
      <c r="M6" s="90"/>
      <c r="N6" s="45"/>
      <c r="O6" s="176"/>
      <c r="P6" s="46"/>
      <c r="Q6" s="44"/>
      <c r="R6" s="47"/>
      <c r="S6" s="45"/>
      <c r="T6" s="48"/>
      <c r="U6" s="45"/>
      <c r="V6" s="45"/>
      <c r="W6" s="46"/>
      <c r="X6" s="44"/>
      <c r="Y6" s="177"/>
      <c r="Z6" s="45"/>
      <c r="AA6" s="45"/>
      <c r="AB6" s="45"/>
      <c r="AC6" s="45"/>
      <c r="AD6" s="46"/>
      <c r="AE6" s="44"/>
      <c r="AF6" s="45"/>
      <c r="AG6" s="177"/>
      <c r="AH6" s="45"/>
      <c r="AI6" s="45"/>
      <c r="AJ6" s="176"/>
      <c r="AK6" s="46"/>
      <c r="AL6" s="215"/>
      <c r="AM6" s="217"/>
      <c r="AN6" s="205"/>
      <c r="AO6" s="205"/>
      <c r="AP6" s="205"/>
      <c r="AQ6" s="195"/>
      <c r="AR6" s="244"/>
      <c r="AS6" s="173"/>
    </row>
    <row r="7" spans="1:45" ht="30" customHeight="1" x14ac:dyDescent="0.15">
      <c r="A7" s="251" t="s">
        <v>50</v>
      </c>
      <c r="B7" s="49"/>
      <c r="C7" s="49"/>
      <c r="D7" s="109"/>
      <c r="E7" s="51"/>
      <c r="F7" s="50"/>
      <c r="G7" s="50"/>
      <c r="H7" s="52"/>
      <c r="I7" s="53"/>
      <c r="J7" s="49"/>
      <c r="K7" s="50"/>
      <c r="L7" s="51"/>
      <c r="M7" s="50"/>
      <c r="N7" s="50"/>
      <c r="O7" s="52"/>
      <c r="P7" s="53"/>
      <c r="Q7" s="49"/>
      <c r="R7" s="50"/>
      <c r="S7" s="54"/>
      <c r="T7" s="50"/>
      <c r="U7" s="51"/>
      <c r="V7" s="50"/>
      <c r="W7" s="53"/>
      <c r="X7" s="49"/>
      <c r="Y7" s="51"/>
      <c r="Z7" s="50"/>
      <c r="AA7" s="50"/>
      <c r="AB7" s="50"/>
      <c r="AC7" s="50"/>
      <c r="AD7" s="53"/>
      <c r="AE7" s="49"/>
      <c r="AF7" s="50"/>
      <c r="AG7" s="51"/>
      <c r="AH7" s="50"/>
      <c r="AI7" s="50"/>
      <c r="AJ7" s="52"/>
      <c r="AK7" s="53"/>
      <c r="AL7" s="210" cm="1">
        <f t="array" ref="AL7">SUMPRODUCT(--(MONTH($B4:$AF4)=3), --($B7:$AF7="4/12"))</f>
        <v>0</v>
      </c>
      <c r="AM7" s="205" cm="1">
        <f t="array" ref="AM7">SUMPRODUCT(--(MONTH($C4:$AK4)=3), --($C7:$AK7="4:30 / 12:30"))</f>
        <v>0</v>
      </c>
      <c r="AN7" s="205" cm="1">
        <f t="array" ref="AN7">SUMPRODUCT(--(MONTH($B4:$AF4)=3), --($B7:$AF7="5/1"))</f>
        <v>0</v>
      </c>
      <c r="AO7" s="205" cm="1">
        <f t="array" ref="AO7">SUMPRODUCT(--(MONTH($B4:$AF4)=3), --($B7:$AF7="5:30 / 1:30"))</f>
        <v>0</v>
      </c>
      <c r="AP7" s="205" cm="1">
        <f t="array" ref="AP7">SUMPRODUCT(--(MONTH($B4:$AF4)=3), --($B7:$AF7="6/2"))</f>
        <v>0</v>
      </c>
      <c r="AQ7" s="195" cm="1">
        <f t="array" ref="AQ7">SUMPRODUCT(--(MONTH($B4:$AF4)=3), --($B7:$AF7="10/6"))</f>
        <v>0</v>
      </c>
      <c r="AR7" s="244">
        <f t="shared" ref="AR7" si="4">SUM(AL7:AO8)</f>
        <v>0</v>
      </c>
    </row>
    <row r="8" spans="1:45" s="4" customFormat="1" ht="12" customHeight="1" x14ac:dyDescent="0.15">
      <c r="A8" s="252"/>
      <c r="B8" s="44"/>
      <c r="C8" s="44"/>
      <c r="D8" s="115"/>
      <c r="E8" s="55"/>
      <c r="F8" s="45"/>
      <c r="G8" s="45"/>
      <c r="H8" s="176"/>
      <c r="I8" s="46"/>
      <c r="J8" s="44"/>
      <c r="K8" s="45"/>
      <c r="L8" s="55"/>
      <c r="M8" s="45"/>
      <c r="N8" s="45"/>
      <c r="O8" s="176"/>
      <c r="P8" s="46"/>
      <c r="Q8" s="44"/>
      <c r="R8" s="95"/>
      <c r="S8" s="176"/>
      <c r="T8" s="45"/>
      <c r="U8" s="45"/>
      <c r="V8" s="45"/>
      <c r="W8" s="46"/>
      <c r="X8" s="44"/>
      <c r="Y8" s="55"/>
      <c r="Z8" s="176"/>
      <c r="AA8" s="176"/>
      <c r="AB8" s="176"/>
      <c r="AC8" s="176"/>
      <c r="AD8" s="46"/>
      <c r="AE8" s="44"/>
      <c r="AF8" s="45"/>
      <c r="AG8" s="55"/>
      <c r="AH8" s="45"/>
      <c r="AI8" s="45"/>
      <c r="AJ8" s="176"/>
      <c r="AK8" s="46"/>
      <c r="AL8" s="237"/>
      <c r="AM8" s="206"/>
      <c r="AN8" s="206"/>
      <c r="AO8" s="206"/>
      <c r="AP8" s="206"/>
      <c r="AQ8" s="196"/>
      <c r="AR8" s="248"/>
      <c r="AS8" s="173"/>
    </row>
    <row r="9" spans="1:45" ht="30" customHeight="1" x14ac:dyDescent="0.15">
      <c r="A9" s="156" t="s">
        <v>51</v>
      </c>
      <c r="B9" s="49"/>
      <c r="C9" s="49"/>
      <c r="D9" s="109"/>
      <c r="E9" s="54"/>
      <c r="F9" s="50"/>
      <c r="G9" s="50"/>
      <c r="H9" s="52"/>
      <c r="I9" s="53"/>
      <c r="J9" s="49"/>
      <c r="K9" s="50"/>
      <c r="L9" s="54"/>
      <c r="M9" s="50"/>
      <c r="N9" s="50"/>
      <c r="O9" s="52"/>
      <c r="P9" s="53"/>
      <c r="Q9" s="49"/>
      <c r="R9" s="52"/>
      <c r="S9" s="52"/>
      <c r="T9" s="50"/>
      <c r="U9" s="52"/>
      <c r="V9" s="50"/>
      <c r="W9" s="56"/>
      <c r="X9" s="49"/>
      <c r="Y9" s="50"/>
      <c r="Z9" s="50"/>
      <c r="AA9" s="50"/>
      <c r="AB9" s="50"/>
      <c r="AC9" s="50"/>
      <c r="AD9" s="56"/>
      <c r="AE9" s="49"/>
      <c r="AF9" s="50"/>
      <c r="AG9" s="54"/>
      <c r="AH9" s="50"/>
      <c r="AI9" s="50"/>
      <c r="AJ9" s="52"/>
      <c r="AK9" s="53"/>
      <c r="AL9" s="189" cm="1">
        <f t="array" ref="AL9">SUMPRODUCT(--(MONTH($B4:$AF4)=3), --($B9:$AF9="4/12"))</f>
        <v>0</v>
      </c>
      <c r="AM9" s="188" cm="1">
        <f t="array" ref="AM9">SUMPRODUCT(--(MONTH($C4:$AK4)=3), --($C9:$AK9="4:30 / 12:30"))</f>
        <v>0</v>
      </c>
      <c r="AN9" s="188" cm="1">
        <f t="array" ref="AN9">SUMPRODUCT(--(MONTH($B4:$AF4)=3), --($B9:$AF9="5/1"))</f>
        <v>0</v>
      </c>
      <c r="AO9" s="188" cm="1">
        <f t="array" ref="AO9">SUMPRODUCT(--(MONTH($B4:$AF4)=3), --($B9:$AF9="5:30 / 1:30"))</f>
        <v>0</v>
      </c>
      <c r="AP9" s="188" cm="1">
        <f t="array" ref="AP9">SUMPRODUCT(--(MONTH($B4:$AF4)=3), --($B9:$AF9="6/2"))</f>
        <v>0</v>
      </c>
      <c r="AQ9" s="186" cm="1">
        <f t="array" ref="AQ9">SUMPRODUCT(--(MONTH($B4:$AF4)=3), --($B9:$AF9="10/6"))</f>
        <v>0</v>
      </c>
      <c r="AR9" s="248">
        <f t="shared" ref="AR9" si="5">SUM(AL9:AO10)</f>
        <v>0</v>
      </c>
    </row>
    <row r="10" spans="1:45" s="4" customFormat="1" ht="12" customHeight="1" thickBot="1" x14ac:dyDescent="0.2">
      <c r="A10" s="157"/>
      <c r="B10" s="25"/>
      <c r="C10" s="25"/>
      <c r="D10" s="120"/>
      <c r="E10" s="57"/>
      <c r="F10" s="21"/>
      <c r="G10" s="21"/>
      <c r="H10" s="175"/>
      <c r="I10" s="58"/>
      <c r="J10" s="25"/>
      <c r="K10" s="21"/>
      <c r="L10" s="57"/>
      <c r="M10" s="21"/>
      <c r="N10" s="21"/>
      <c r="O10" s="175"/>
      <c r="P10" s="58"/>
      <c r="Q10" s="25"/>
      <c r="R10" s="57"/>
      <c r="S10" s="175"/>
      <c r="T10" s="21"/>
      <c r="U10" s="21"/>
      <c r="V10" s="21"/>
      <c r="W10" s="58"/>
      <c r="X10" s="25"/>
      <c r="Y10" s="57"/>
      <c r="Z10" s="175"/>
      <c r="AA10" s="21"/>
      <c r="AB10" s="21"/>
      <c r="AC10" s="21"/>
      <c r="AD10" s="58"/>
      <c r="AE10" s="25"/>
      <c r="AF10" s="21"/>
      <c r="AG10" s="57"/>
      <c r="AH10" s="21"/>
      <c r="AI10" s="21"/>
      <c r="AJ10" s="175"/>
      <c r="AK10" s="58"/>
      <c r="AL10" s="190"/>
      <c r="AM10" s="191"/>
      <c r="AN10" s="191"/>
      <c r="AO10" s="191"/>
      <c r="AP10" s="191"/>
      <c r="AQ10" s="187"/>
      <c r="AR10" s="249"/>
      <c r="AS10" s="173"/>
    </row>
    <row r="11" spans="1:45" ht="30" customHeight="1" thickTop="1" x14ac:dyDescent="0.15">
      <c r="A11" s="253" t="s">
        <v>52</v>
      </c>
      <c r="B11" s="39"/>
      <c r="C11" s="39"/>
      <c r="D11" s="108"/>
      <c r="E11" s="59"/>
      <c r="F11" s="60"/>
      <c r="G11" s="41"/>
      <c r="H11" s="61"/>
      <c r="I11" s="43"/>
      <c r="J11" s="39"/>
      <c r="K11" s="40"/>
      <c r="L11" s="59"/>
      <c r="M11" s="50"/>
      <c r="N11" s="41"/>
      <c r="O11" s="61"/>
      <c r="P11" s="43"/>
      <c r="Q11" s="39"/>
      <c r="R11" s="41"/>
      <c r="S11" s="40"/>
      <c r="T11" s="40"/>
      <c r="U11" s="40"/>
      <c r="V11" s="40"/>
      <c r="W11" s="43"/>
      <c r="X11" s="39"/>
      <c r="Y11" s="41"/>
      <c r="Z11" s="40"/>
      <c r="AA11" s="40"/>
      <c r="AB11" s="40"/>
      <c r="AC11" s="40"/>
      <c r="AD11" s="43"/>
      <c r="AE11" s="39"/>
      <c r="AF11" s="40"/>
      <c r="AG11" s="59"/>
      <c r="AH11" s="60"/>
      <c r="AI11" s="41"/>
      <c r="AJ11" s="61"/>
      <c r="AK11" s="43"/>
      <c r="AL11" s="203" cm="1">
        <f t="array" ref="AL11">SUMPRODUCT(--(MONTH($B4:$AF4)=3), --($B11:$AF11="4/12"))</f>
        <v>0</v>
      </c>
      <c r="AM11" s="204" cm="1">
        <f t="array" ref="AM11">SUMPRODUCT(--(MONTH($B4:$AF4)=3), --($B11:$AF11="4:30 / 12:30"))</f>
        <v>0</v>
      </c>
      <c r="AN11" s="204" cm="1">
        <f t="array" ref="AN11">SUMPRODUCT(--(MONTH($B4:$AF4)=3), --($B11:$AF11="5/1"))</f>
        <v>0</v>
      </c>
      <c r="AO11" s="204" cm="1">
        <f t="array" ref="AO11">SUMPRODUCT(--(MONTH($B4:$AF4)=3), --($B11:$AF11="5:30 / 1:30"))</f>
        <v>0</v>
      </c>
      <c r="AP11" s="204" cm="1">
        <f t="array" ref="AP11">SUMPRODUCT(--(MONTH($B4:$AF4)=3), --($B11:$AF11="6/2"))</f>
        <v>0</v>
      </c>
      <c r="AQ11" s="246" cm="1">
        <f t="array" ref="AQ11">SUMPRODUCT(--(MONTH($B4:$AF4)=3), --($B11:$AF11="10/6"))</f>
        <v>0</v>
      </c>
      <c r="AR11" s="247">
        <f t="shared" ref="AR11" si="6">SUM(AL11:AO12)</f>
        <v>0</v>
      </c>
      <c r="AS11" s="7"/>
    </row>
    <row r="12" spans="1:45" s="4" customFormat="1" ht="12" customHeight="1" x14ac:dyDescent="0.15">
      <c r="A12" s="252"/>
      <c r="B12" s="44"/>
      <c r="C12" s="44"/>
      <c r="D12" s="115"/>
      <c r="E12" s="177"/>
      <c r="F12" s="45"/>
      <c r="G12" s="45"/>
      <c r="H12" s="176"/>
      <c r="I12" s="46"/>
      <c r="J12" s="44"/>
      <c r="K12" s="45"/>
      <c r="L12" s="177"/>
      <c r="M12" s="45"/>
      <c r="N12" s="45"/>
      <c r="O12" s="176"/>
      <c r="P12" s="46"/>
      <c r="Q12" s="44"/>
      <c r="R12" s="177"/>
      <c r="S12" s="45"/>
      <c r="T12" s="45"/>
      <c r="U12" s="45"/>
      <c r="V12" s="45"/>
      <c r="W12" s="46"/>
      <c r="X12" s="44"/>
      <c r="Y12" s="47"/>
      <c r="Z12" s="45"/>
      <c r="AA12" s="45"/>
      <c r="AB12" s="45"/>
      <c r="AC12" s="48"/>
      <c r="AD12" s="46"/>
      <c r="AE12" s="44"/>
      <c r="AF12" s="45"/>
      <c r="AG12" s="177"/>
      <c r="AH12" s="45"/>
      <c r="AI12" s="45"/>
      <c r="AJ12" s="176"/>
      <c r="AK12" s="46"/>
      <c r="AL12" s="189"/>
      <c r="AM12" s="188"/>
      <c r="AN12" s="188"/>
      <c r="AO12" s="188"/>
      <c r="AP12" s="188"/>
      <c r="AQ12" s="186"/>
      <c r="AR12" s="244"/>
      <c r="AS12" s="173"/>
    </row>
    <row r="13" spans="1:45" ht="30" customHeight="1" x14ac:dyDescent="0.15">
      <c r="A13" s="251" t="s">
        <v>53</v>
      </c>
      <c r="B13" s="49"/>
      <c r="C13" s="49"/>
      <c r="D13" s="109"/>
      <c r="E13" s="51"/>
      <c r="F13" s="51"/>
      <c r="G13" s="50"/>
      <c r="H13" s="62"/>
      <c r="I13" s="53"/>
      <c r="J13" s="49"/>
      <c r="K13" s="50"/>
      <c r="L13" s="51"/>
      <c r="M13" s="50"/>
      <c r="N13" s="50"/>
      <c r="O13" s="62"/>
      <c r="P13" s="53"/>
      <c r="Q13" s="49"/>
      <c r="R13" s="51"/>
      <c r="S13" s="61"/>
      <c r="T13" s="61"/>
      <c r="U13" s="50"/>
      <c r="V13" s="61"/>
      <c r="W13" s="53"/>
      <c r="X13" s="63"/>
      <c r="Y13" s="50"/>
      <c r="Z13" s="64"/>
      <c r="AA13" s="61"/>
      <c r="AB13" s="52"/>
      <c r="AC13" s="61"/>
      <c r="AD13" s="56"/>
      <c r="AE13" s="49"/>
      <c r="AF13" s="50"/>
      <c r="AG13" s="51"/>
      <c r="AH13" s="51"/>
      <c r="AI13" s="50"/>
      <c r="AJ13" s="62"/>
      <c r="AK13" s="53"/>
      <c r="AL13" s="189" cm="1">
        <f t="array" ref="AL13">SUMPRODUCT(--(MONTH($B4:$AF4)=3), --($B13:$AF13="4/12"))</f>
        <v>0</v>
      </c>
      <c r="AM13" s="188" cm="1">
        <f t="array" ref="AM13">SUMPRODUCT(--(MONTH($B4:$AF4)=3), --($B13:$AF13="4:30 / 12:30"))</f>
        <v>0</v>
      </c>
      <c r="AN13" s="188" cm="1">
        <f t="array" ref="AN13">SUMPRODUCT(--(MONTH($B4:$AF4)=3), --($B13:$AF13="5/1"))</f>
        <v>0</v>
      </c>
      <c r="AO13" s="188" cm="1">
        <f t="array" ref="AO13">SUMPRODUCT(--(MONTH($B4:$AF4)=3), --($B13:$AF13="5:30 / 1:30"))</f>
        <v>0</v>
      </c>
      <c r="AP13" s="188" cm="1">
        <f t="array" ref="AP13">SUMPRODUCT(--(MONTH($B4:$AF4)=3), --($B13:$AF13="6/2"))</f>
        <v>0</v>
      </c>
      <c r="AQ13" s="186" cm="1">
        <f t="array" ref="AQ13">SUMPRODUCT(--(MONTH($B4:$AF4)=3), --($B13:$AF13="10/6"))</f>
        <v>0</v>
      </c>
      <c r="AR13" s="244">
        <f t="shared" ref="AR13" si="7">SUM(AL13:AO14)</f>
        <v>0</v>
      </c>
    </row>
    <row r="14" spans="1:45" s="4" customFormat="1" ht="12" customHeight="1" x14ac:dyDescent="0.15">
      <c r="A14" s="252"/>
      <c r="B14" s="44"/>
      <c r="C14" s="44"/>
      <c r="D14" s="115"/>
      <c r="E14" s="179"/>
      <c r="F14" s="65"/>
      <c r="G14" s="45"/>
      <c r="H14" s="178"/>
      <c r="I14" s="46"/>
      <c r="J14" s="44"/>
      <c r="K14" s="45"/>
      <c r="L14" s="178"/>
      <c r="M14" s="65"/>
      <c r="N14" s="45"/>
      <c r="O14" s="178"/>
      <c r="P14" s="46"/>
      <c r="Q14" s="44"/>
      <c r="R14" s="177"/>
      <c r="S14" s="65"/>
      <c r="T14" s="65"/>
      <c r="U14" s="45"/>
      <c r="V14" s="66"/>
      <c r="W14" s="46"/>
      <c r="X14" s="44"/>
      <c r="Y14" s="48"/>
      <c r="Z14" s="65"/>
      <c r="AA14" s="65"/>
      <c r="AB14" s="48"/>
      <c r="AC14" s="65"/>
      <c r="AD14" s="46"/>
      <c r="AE14" s="44"/>
      <c r="AF14" s="45"/>
      <c r="AG14" s="179"/>
      <c r="AH14" s="65"/>
      <c r="AI14" s="45"/>
      <c r="AJ14" s="178"/>
      <c r="AK14" s="46"/>
      <c r="AL14" s="189"/>
      <c r="AM14" s="188"/>
      <c r="AN14" s="188"/>
      <c r="AO14" s="188"/>
      <c r="AP14" s="188"/>
      <c r="AQ14" s="186"/>
      <c r="AR14" s="244"/>
      <c r="AS14" s="173"/>
    </row>
    <row r="15" spans="1:45" ht="30" customHeight="1" x14ac:dyDescent="0.15">
      <c r="A15" s="251" t="s">
        <v>54</v>
      </c>
      <c r="B15" s="128"/>
      <c r="C15" s="64"/>
      <c r="D15" s="121"/>
      <c r="E15" s="64"/>
      <c r="F15" s="61"/>
      <c r="G15" s="50"/>
      <c r="H15" s="52"/>
      <c r="I15" s="53"/>
      <c r="J15" s="63"/>
      <c r="K15" s="50"/>
      <c r="L15" s="51"/>
      <c r="M15" s="64"/>
      <c r="N15" s="50"/>
      <c r="O15" s="52"/>
      <c r="P15" s="53"/>
      <c r="Q15" s="49"/>
      <c r="R15" s="50"/>
      <c r="S15" s="50"/>
      <c r="T15" s="50"/>
      <c r="U15" s="50"/>
      <c r="V15" s="50"/>
      <c r="W15" s="56"/>
      <c r="X15" s="63"/>
      <c r="Y15" s="61"/>
      <c r="Z15" s="64"/>
      <c r="AA15" s="52"/>
      <c r="AB15" s="50"/>
      <c r="AC15" s="51"/>
      <c r="AD15" s="67"/>
      <c r="AE15" s="64"/>
      <c r="AF15" s="61"/>
      <c r="AG15" s="64"/>
      <c r="AH15" s="61"/>
      <c r="AI15" s="50"/>
      <c r="AJ15" s="52"/>
      <c r="AK15" s="53"/>
      <c r="AL15" s="189" cm="1">
        <f t="array" ref="AL15">SUMPRODUCT(--(MONTH($C4:$AK4)=3), --($C15:$AK15="4/12"))</f>
        <v>0</v>
      </c>
      <c r="AM15" s="188" cm="1">
        <f t="array" ref="AM15">SUMPRODUCT(--(MONTH($B4:$AF4)=3), --($B15:$AF15="4:30 / 12:30"))</f>
        <v>0</v>
      </c>
      <c r="AN15" s="188" cm="1">
        <f t="array" ref="AN15">SUMPRODUCT(--(MONTH($B4:$AF4)=3), --($B15:$AF15="5/1"))</f>
        <v>0</v>
      </c>
      <c r="AO15" s="188" cm="1">
        <f t="array" ref="AO15">SUMPRODUCT(--(MONTH($B4:$AF4)=3), --($B15:$AF15="5:30 / 1:30"))</f>
        <v>0</v>
      </c>
      <c r="AP15" s="188" cm="1">
        <f t="array" ref="AP15">SUMPRODUCT(--(MONTH($B4:$AF4)=3), --($B15:$AF15="6/2"))</f>
        <v>0</v>
      </c>
      <c r="AQ15" s="186" cm="1">
        <f t="array" ref="AQ15">SUMPRODUCT(--(MONTH($B4:$AF4)=3), --($B15:$AF15="10/6"))</f>
        <v>0</v>
      </c>
      <c r="AR15" s="244">
        <f t="shared" ref="AR15" si="8">SUM(AL15:AO16)</f>
        <v>0</v>
      </c>
    </row>
    <row r="16" spans="1:45" s="4" customFormat="1" ht="12" customHeight="1" x14ac:dyDescent="0.15">
      <c r="A16" s="252"/>
      <c r="B16" s="129"/>
      <c r="C16" s="177"/>
      <c r="D16" s="117"/>
      <c r="E16" s="179"/>
      <c r="F16" s="45"/>
      <c r="G16" s="45"/>
      <c r="H16" s="176"/>
      <c r="I16" s="46"/>
      <c r="J16" s="68"/>
      <c r="K16" s="45"/>
      <c r="L16" s="177"/>
      <c r="M16" s="45"/>
      <c r="N16" s="45"/>
      <c r="O16" s="176"/>
      <c r="P16" s="46"/>
      <c r="Q16" s="44"/>
      <c r="R16" s="179"/>
      <c r="S16" s="65"/>
      <c r="T16" s="48"/>
      <c r="U16" s="48"/>
      <c r="V16" s="45"/>
      <c r="W16" s="46"/>
      <c r="X16" s="44"/>
      <c r="Y16" s="179"/>
      <c r="Z16" s="65"/>
      <c r="AA16" s="45"/>
      <c r="AB16" s="45"/>
      <c r="AC16" s="45"/>
      <c r="AD16" s="46"/>
      <c r="AE16" s="177"/>
      <c r="AF16" s="65"/>
      <c r="AG16" s="179"/>
      <c r="AH16" s="45"/>
      <c r="AI16" s="45"/>
      <c r="AJ16" s="176"/>
      <c r="AK16" s="46"/>
      <c r="AL16" s="189"/>
      <c r="AM16" s="188"/>
      <c r="AN16" s="188"/>
      <c r="AO16" s="188"/>
      <c r="AP16" s="188"/>
      <c r="AQ16" s="186"/>
      <c r="AR16" s="244"/>
      <c r="AS16" s="173"/>
    </row>
    <row r="17" spans="1:45" ht="30" customHeight="1" x14ac:dyDescent="0.15">
      <c r="A17" s="181" t="s">
        <v>55</v>
      </c>
      <c r="B17" s="128"/>
      <c r="C17" s="64"/>
      <c r="D17" s="109"/>
      <c r="E17" s="64"/>
      <c r="F17" s="61"/>
      <c r="G17" s="61"/>
      <c r="H17" s="62"/>
      <c r="I17" s="53"/>
      <c r="J17" s="63"/>
      <c r="K17" s="50"/>
      <c r="L17" s="51"/>
      <c r="M17" s="64"/>
      <c r="N17" s="61"/>
      <c r="O17" s="62"/>
      <c r="P17" s="53"/>
      <c r="Q17" s="49"/>
      <c r="R17" s="51"/>
      <c r="S17" s="52"/>
      <c r="T17" s="61"/>
      <c r="U17" s="64"/>
      <c r="V17" s="50"/>
      <c r="W17" s="53"/>
      <c r="X17" s="49"/>
      <c r="Y17" s="50"/>
      <c r="Z17" s="51"/>
      <c r="AA17" s="51"/>
      <c r="AB17" s="51"/>
      <c r="AC17" s="51"/>
      <c r="AD17" s="67"/>
      <c r="AE17" s="64"/>
      <c r="AF17" s="50"/>
      <c r="AG17" s="64"/>
      <c r="AH17" s="61"/>
      <c r="AI17" s="61"/>
      <c r="AJ17" s="62"/>
      <c r="AK17" s="53"/>
      <c r="AL17" s="189" cm="1">
        <f t="array" ref="AL17">SUMPRODUCT(--(MONTH($B4:$AF4)=3), --($B17:$AF17="4/12"))</f>
        <v>0</v>
      </c>
      <c r="AM17" s="188" cm="1">
        <f t="array" ref="AM17">SUMPRODUCT(--(MONTH($B4:$AF4)=3), --($B17:$AF17="4:30 / 12:30"))</f>
        <v>0</v>
      </c>
      <c r="AN17" s="188" cm="1">
        <f t="array" ref="AN17">SUMPRODUCT(--(MONTH($B4:$AF4)=3), --($B17:$AF17="5/1"))</f>
        <v>0</v>
      </c>
      <c r="AO17" s="188" cm="1">
        <f t="array" ref="AO17">SUMPRODUCT(--(MONTH($B4:$AF4)=3), --($B17:$AF17="5:30 / 1:30"))</f>
        <v>0</v>
      </c>
      <c r="AP17" s="188" cm="1">
        <f t="array" ref="AP17">SUMPRODUCT(--(MONTH($B4:$AF4)=3), --($B17:$AF17="6/2"))</f>
        <v>0</v>
      </c>
      <c r="AQ17" s="186" cm="1">
        <f t="array" ref="AQ17">SUMPRODUCT(--(MONTH($B4:$AF4)=3), --($B17:$AF17="10/6"))</f>
        <v>0</v>
      </c>
      <c r="AR17" s="244">
        <f t="shared" ref="AR17" si="9">SUM(AL17:AO18)</f>
        <v>0</v>
      </c>
    </row>
    <row r="18" spans="1:45" s="4" customFormat="1" ht="12" customHeight="1" x14ac:dyDescent="0.15">
      <c r="A18" s="158"/>
      <c r="B18" s="130"/>
      <c r="C18" s="47"/>
      <c r="D18" s="119"/>
      <c r="E18" s="70"/>
      <c r="F18" s="66"/>
      <c r="G18" s="155"/>
      <c r="H18" s="71"/>
      <c r="I18" s="72"/>
      <c r="J18" s="69"/>
      <c r="K18" s="91"/>
      <c r="L18" s="70"/>
      <c r="M18" s="66"/>
      <c r="N18" s="66"/>
      <c r="O18" s="71"/>
      <c r="P18" s="72"/>
      <c r="Q18" s="69"/>
      <c r="R18" s="47"/>
      <c r="S18" s="66"/>
      <c r="T18" s="66"/>
      <c r="U18" s="65"/>
      <c r="V18" s="66"/>
      <c r="W18" s="72"/>
      <c r="X18" s="69"/>
      <c r="Y18" s="47"/>
      <c r="Z18" s="66"/>
      <c r="AA18" s="66"/>
      <c r="AB18" s="66"/>
      <c r="AC18" s="66"/>
      <c r="AD18" s="46"/>
      <c r="AE18" s="47"/>
      <c r="AF18" s="48"/>
      <c r="AG18" s="70"/>
      <c r="AH18" s="66"/>
      <c r="AI18" s="66"/>
      <c r="AJ18" s="71"/>
      <c r="AK18" s="72"/>
      <c r="AL18" s="189"/>
      <c r="AM18" s="188"/>
      <c r="AN18" s="188"/>
      <c r="AO18" s="188"/>
      <c r="AP18" s="188"/>
      <c r="AQ18" s="186"/>
      <c r="AR18" s="244"/>
      <c r="AS18" s="173"/>
    </row>
    <row r="19" spans="1:45" s="4" customFormat="1" ht="30" customHeight="1" x14ac:dyDescent="0.15">
      <c r="A19" s="181" t="s">
        <v>56</v>
      </c>
      <c r="B19" s="131"/>
      <c r="C19" s="51"/>
      <c r="D19" s="109"/>
      <c r="E19" s="50"/>
      <c r="F19" s="50"/>
      <c r="G19" s="61"/>
      <c r="H19" s="73"/>
      <c r="I19" s="53"/>
      <c r="J19" s="49"/>
      <c r="K19" s="50"/>
      <c r="L19" s="50"/>
      <c r="M19" s="50"/>
      <c r="N19" s="61"/>
      <c r="O19" s="73"/>
      <c r="P19" s="53"/>
      <c r="Q19" s="49"/>
      <c r="R19" s="50"/>
      <c r="S19" s="50"/>
      <c r="T19" s="50"/>
      <c r="U19" s="64"/>
      <c r="V19" s="64"/>
      <c r="W19" s="53"/>
      <c r="X19" s="49"/>
      <c r="Y19" s="50"/>
      <c r="Z19" s="50"/>
      <c r="AA19" s="52"/>
      <c r="AB19" s="50"/>
      <c r="AC19" s="64"/>
      <c r="AD19" s="53"/>
      <c r="AE19" s="49"/>
      <c r="AF19" s="50"/>
      <c r="AG19" s="50"/>
      <c r="AH19" s="50"/>
      <c r="AI19" s="61"/>
      <c r="AJ19" s="73"/>
      <c r="AK19" s="53"/>
      <c r="AL19" s="189" cm="1">
        <f t="array" ref="AL19">SUMPRODUCT(--(MONTH($B4:$AF4)=3), --($B19:$AF19="4/12"))</f>
        <v>0</v>
      </c>
      <c r="AM19" s="188" cm="1">
        <f t="array" ref="AM19">SUMPRODUCT(--(MONTH($B4:$AF4)=3), --($B19:$AF19="4:30 / 12:30"))</f>
        <v>0</v>
      </c>
      <c r="AN19" s="188" cm="1">
        <f t="array" ref="AN19">SUMPRODUCT(--(MONTH($B4:$AF4)=3), --($B19:$AF19="5/1"))</f>
        <v>0</v>
      </c>
      <c r="AO19" s="188" cm="1">
        <f t="array" ref="AO19">SUMPRODUCT(--(MONTH($B4:$AF4)=3), --($B19:$AF19="5:30 / 1:30"))</f>
        <v>0</v>
      </c>
      <c r="AP19" s="188" cm="1">
        <f t="array" ref="AP19">SUMPRODUCT(--(MONTH($B4:$AF4)=3), --($B19:$AF19="6/2"))</f>
        <v>0</v>
      </c>
      <c r="AQ19" s="186" cm="1">
        <f t="array" ref="AQ19">SUMPRODUCT(--(MONTH($B4:$AF4)=3), --($B19:$AF19="10/6"))</f>
        <v>0</v>
      </c>
      <c r="AR19" s="244">
        <f t="shared" ref="AR19" si="10">SUM(AL19:AO20)</f>
        <v>0</v>
      </c>
      <c r="AS19" s="173"/>
    </row>
    <row r="20" spans="1:45" s="4" customFormat="1" ht="12" customHeight="1" x14ac:dyDescent="0.15">
      <c r="A20" s="158"/>
      <c r="B20" s="130"/>
      <c r="C20" s="47"/>
      <c r="D20" s="119"/>
      <c r="E20" s="47"/>
      <c r="F20" s="48"/>
      <c r="G20" s="70"/>
      <c r="H20" s="74"/>
      <c r="I20" s="72"/>
      <c r="J20" s="69"/>
      <c r="K20" s="48"/>
      <c r="L20" s="47"/>
      <c r="M20" s="48"/>
      <c r="N20" s="70"/>
      <c r="O20" s="74"/>
      <c r="P20" s="72"/>
      <c r="Q20" s="69"/>
      <c r="R20" s="75"/>
      <c r="S20" s="48"/>
      <c r="T20" s="48"/>
      <c r="U20" s="70"/>
      <c r="V20" s="70"/>
      <c r="W20" s="72"/>
      <c r="X20" s="69"/>
      <c r="Y20" s="75"/>
      <c r="Z20" s="48"/>
      <c r="AA20" s="48"/>
      <c r="AB20" s="70"/>
      <c r="AC20" s="70"/>
      <c r="AD20" s="72"/>
      <c r="AE20" s="69"/>
      <c r="AF20" s="48"/>
      <c r="AG20" s="47"/>
      <c r="AH20" s="48"/>
      <c r="AI20" s="134"/>
      <c r="AJ20" s="74"/>
      <c r="AK20" s="72"/>
      <c r="AL20" s="189"/>
      <c r="AM20" s="188"/>
      <c r="AN20" s="188"/>
      <c r="AO20" s="188"/>
      <c r="AP20" s="188"/>
      <c r="AQ20" s="186"/>
      <c r="AR20" s="244"/>
      <c r="AS20" s="173"/>
    </row>
    <row r="21" spans="1:45" ht="20" customHeight="1" x14ac:dyDescent="0.15">
      <c r="A21" s="156" t="s">
        <v>57</v>
      </c>
      <c r="B21" s="131"/>
      <c r="C21" s="51"/>
      <c r="D21" s="109"/>
      <c r="E21" s="51"/>
      <c r="F21" s="50"/>
      <c r="G21" s="51"/>
      <c r="H21" s="54"/>
      <c r="I21" s="53"/>
      <c r="J21" s="49"/>
      <c r="K21" s="50"/>
      <c r="L21" s="51"/>
      <c r="M21" s="50"/>
      <c r="N21" s="51"/>
      <c r="O21" s="54"/>
      <c r="P21" s="53"/>
      <c r="Q21" s="49"/>
      <c r="R21" s="54"/>
      <c r="S21" s="50"/>
      <c r="T21" s="50"/>
      <c r="U21" s="51"/>
      <c r="V21" s="51"/>
      <c r="W21" s="53"/>
      <c r="X21" s="49"/>
      <c r="Y21" s="54"/>
      <c r="Z21" s="50"/>
      <c r="AA21" s="50"/>
      <c r="AB21" s="51"/>
      <c r="AC21" s="51"/>
      <c r="AD21" s="53"/>
      <c r="AE21" s="49"/>
      <c r="AF21" s="50"/>
      <c r="AG21" s="51"/>
      <c r="AH21" s="50"/>
      <c r="AI21" s="51"/>
      <c r="AJ21" s="54"/>
      <c r="AK21" s="53"/>
      <c r="AL21" s="189" cm="1">
        <f t="array" ref="AL21">SUMPRODUCT(--(MONTH($B4:$AF4)=3), --($B21:$AF21="4/12"))</f>
        <v>0</v>
      </c>
      <c r="AM21" s="188" cm="1">
        <f t="array" ref="AM21">SUMPRODUCT(--(MONTH($B4:$AF4)=3), --($B21:$AF21="4:30 / 12:30"))</f>
        <v>0</v>
      </c>
      <c r="AN21" s="188" cm="1">
        <f t="array" ref="AN21">SUMPRODUCT(--(MONTH($B4:$AF4)=3), --($B21:$AF21="5/1"))</f>
        <v>0</v>
      </c>
      <c r="AO21" s="188" cm="1">
        <f t="array" ref="AO21">SUMPRODUCT(--(MONTH($B4:$AF4)=3), --($B21:$AF21="5:30 / 1:30"))</f>
        <v>0</v>
      </c>
      <c r="AP21" s="188" cm="1">
        <f t="array" ref="AP21">SUMPRODUCT(--(MONTH($B4:$AF4)=3), --($B21:$AF21="6/2"))</f>
        <v>0</v>
      </c>
      <c r="AQ21" s="186" cm="1">
        <f t="array" ref="AQ21">SUMPRODUCT(--(MONTH($B4:$AF4)=3), --($B21:$AF21="10/6"))</f>
        <v>0</v>
      </c>
      <c r="AR21" s="244">
        <f t="shared" ref="AR21" si="11">SUM(AL21:AO22)</f>
        <v>0</v>
      </c>
    </row>
    <row r="22" spans="1:45" ht="12" customHeight="1" thickBot="1" x14ac:dyDescent="0.2">
      <c r="A22" s="14"/>
      <c r="B22" s="132"/>
      <c r="C22" s="105"/>
      <c r="D22" s="112"/>
      <c r="E22" s="20"/>
      <c r="F22" s="20"/>
      <c r="G22" s="20"/>
      <c r="H22" s="23"/>
      <c r="I22" s="24"/>
      <c r="J22" s="22"/>
      <c r="K22" s="23"/>
      <c r="L22" s="23"/>
      <c r="M22" s="23"/>
      <c r="N22" s="23"/>
      <c r="O22" s="23"/>
      <c r="P22" s="24"/>
      <c r="Q22" s="25"/>
      <c r="R22" s="23"/>
      <c r="S22" s="23"/>
      <c r="T22" s="23"/>
      <c r="U22" s="21"/>
      <c r="V22" s="23"/>
      <c r="W22" s="24"/>
      <c r="X22" s="22"/>
      <c r="Y22" s="23"/>
      <c r="Z22" s="21"/>
      <c r="AA22" s="21"/>
      <c r="AB22" s="21"/>
      <c r="AC22" s="21"/>
      <c r="AD22" s="24"/>
      <c r="AE22" s="22"/>
      <c r="AF22" s="23"/>
      <c r="AG22" s="20"/>
      <c r="AH22" s="20"/>
      <c r="AI22" s="20"/>
      <c r="AJ22" s="23"/>
      <c r="AK22" s="24"/>
      <c r="AL22" s="190"/>
      <c r="AM22" s="191"/>
      <c r="AN22" s="191"/>
      <c r="AO22" s="191"/>
      <c r="AP22" s="191"/>
      <c r="AQ22" s="187"/>
      <c r="AR22" s="245"/>
    </row>
    <row r="23" spans="1:45" ht="24.75" customHeight="1" thickTop="1" x14ac:dyDescent="0.15">
      <c r="A23" s="223" t="s">
        <v>35</v>
      </c>
      <c r="B23" s="223"/>
      <c r="C23" s="223"/>
      <c r="D23" s="223"/>
      <c r="E23" s="223"/>
      <c r="F23" s="223"/>
      <c r="G23" s="223"/>
      <c r="H23" s="223"/>
      <c r="I23" s="223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</row>
    <row r="24" spans="1:45" x14ac:dyDescent="0.15">
      <c r="A24" s="17"/>
      <c r="B24" s="17"/>
      <c r="O24" s="198"/>
      <c r="P24" s="199"/>
      <c r="Q24" s="199"/>
      <c r="V24" s="200"/>
      <c r="W24" s="200"/>
      <c r="X24" s="102"/>
      <c r="Y24" s="103"/>
      <c r="Z24" s="103"/>
      <c r="AA24" s="103"/>
      <c r="AB24" s="103"/>
      <c r="AC24" s="103"/>
      <c r="AD24" s="103"/>
    </row>
    <row r="25" spans="1:45" ht="15" customHeight="1" x14ac:dyDescent="0.15">
      <c r="A25" s="17" t="s">
        <v>37</v>
      </c>
      <c r="B25" s="17"/>
    </row>
    <row r="27" spans="1:45" x14ac:dyDescent="0.15">
      <c r="A27" s="5" t="s">
        <v>11</v>
      </c>
      <c r="B27" s="5"/>
      <c r="C27" s="8">
        <f>COUNTIF(C5:C21,"4/12")</f>
        <v>0</v>
      </c>
      <c r="D27" s="8">
        <f t="shared" ref="D27:AK27" si="12">COUNTIF(D5:D21,"4/12")</f>
        <v>0</v>
      </c>
      <c r="E27" s="8">
        <f t="shared" si="12"/>
        <v>0</v>
      </c>
      <c r="F27" s="8">
        <f t="shared" si="12"/>
        <v>0</v>
      </c>
      <c r="G27" s="8">
        <f t="shared" si="12"/>
        <v>0</v>
      </c>
      <c r="H27" s="8">
        <f t="shared" si="12"/>
        <v>0</v>
      </c>
      <c r="I27" s="8">
        <f t="shared" si="12"/>
        <v>0</v>
      </c>
      <c r="J27" s="8">
        <f t="shared" si="12"/>
        <v>0</v>
      </c>
      <c r="K27" s="8">
        <f t="shared" si="12"/>
        <v>0</v>
      </c>
      <c r="L27" s="8">
        <f t="shared" si="12"/>
        <v>0</v>
      </c>
      <c r="M27" s="8">
        <f t="shared" si="12"/>
        <v>0</v>
      </c>
      <c r="N27" s="8">
        <f t="shared" si="12"/>
        <v>0</v>
      </c>
      <c r="O27" s="8">
        <f t="shared" si="12"/>
        <v>0</v>
      </c>
      <c r="P27" s="8">
        <f t="shared" si="12"/>
        <v>0</v>
      </c>
      <c r="Q27" s="8">
        <f t="shared" si="12"/>
        <v>0</v>
      </c>
      <c r="R27" s="8">
        <f t="shared" si="12"/>
        <v>0</v>
      </c>
      <c r="S27" s="8">
        <f t="shared" si="12"/>
        <v>0</v>
      </c>
      <c r="T27" s="8">
        <f t="shared" si="12"/>
        <v>0</v>
      </c>
      <c r="U27" s="8">
        <f t="shared" si="12"/>
        <v>0</v>
      </c>
      <c r="V27" s="8">
        <f t="shared" si="12"/>
        <v>0</v>
      </c>
      <c r="W27" s="8">
        <f t="shared" si="12"/>
        <v>0</v>
      </c>
      <c r="X27" s="8">
        <f t="shared" si="12"/>
        <v>0</v>
      </c>
      <c r="Y27" s="8">
        <f t="shared" si="12"/>
        <v>0</v>
      </c>
      <c r="Z27" s="8">
        <f t="shared" si="12"/>
        <v>0</v>
      </c>
      <c r="AA27" s="8">
        <f t="shared" si="12"/>
        <v>0</v>
      </c>
      <c r="AB27" s="8">
        <f t="shared" si="12"/>
        <v>0</v>
      </c>
      <c r="AC27" s="8">
        <f t="shared" si="12"/>
        <v>0</v>
      </c>
      <c r="AD27" s="8">
        <f t="shared" si="12"/>
        <v>0</v>
      </c>
      <c r="AE27" s="8">
        <f t="shared" si="12"/>
        <v>0</v>
      </c>
      <c r="AF27" s="8">
        <f t="shared" si="12"/>
        <v>0</v>
      </c>
      <c r="AG27" s="8">
        <f t="shared" si="12"/>
        <v>0</v>
      </c>
      <c r="AH27" s="8">
        <f t="shared" si="12"/>
        <v>0</v>
      </c>
      <c r="AI27" s="8">
        <f t="shared" si="12"/>
        <v>0</v>
      </c>
      <c r="AJ27" s="8">
        <f t="shared" si="12"/>
        <v>0</v>
      </c>
      <c r="AK27" s="8">
        <f t="shared" si="12"/>
        <v>0</v>
      </c>
    </row>
    <row r="28" spans="1:45" ht="13" thickBot="1" x14ac:dyDescent="0.2">
      <c r="A28" s="5" t="s">
        <v>27</v>
      </c>
      <c r="B28" s="5"/>
      <c r="C28" s="26">
        <f>COUNTIF(C5:C21,"4:30 / 12:30")</f>
        <v>0</v>
      </c>
      <c r="D28" s="26">
        <f t="shared" ref="D28:AK28" si="13">COUNTIF(D5:D21,"4:30 / 12:30")</f>
        <v>0</v>
      </c>
      <c r="E28" s="26">
        <f t="shared" si="13"/>
        <v>0</v>
      </c>
      <c r="F28" s="26">
        <f t="shared" si="13"/>
        <v>0</v>
      </c>
      <c r="G28" s="26">
        <f t="shared" si="13"/>
        <v>0</v>
      </c>
      <c r="H28" s="26">
        <f t="shared" si="13"/>
        <v>0</v>
      </c>
      <c r="I28" s="26">
        <f t="shared" si="13"/>
        <v>0</v>
      </c>
      <c r="J28" s="26">
        <f t="shared" si="13"/>
        <v>0</v>
      </c>
      <c r="K28" s="26">
        <f t="shared" si="13"/>
        <v>0</v>
      </c>
      <c r="L28" s="26">
        <f t="shared" si="13"/>
        <v>0</v>
      </c>
      <c r="M28" s="26">
        <f t="shared" si="13"/>
        <v>0</v>
      </c>
      <c r="N28" s="26">
        <f t="shared" si="13"/>
        <v>0</v>
      </c>
      <c r="O28" s="26">
        <f t="shared" si="13"/>
        <v>0</v>
      </c>
      <c r="P28" s="26">
        <f t="shared" si="13"/>
        <v>0</v>
      </c>
      <c r="Q28" s="26">
        <f t="shared" si="13"/>
        <v>0</v>
      </c>
      <c r="R28" s="26">
        <f t="shared" si="13"/>
        <v>0</v>
      </c>
      <c r="S28" s="26">
        <f t="shared" si="13"/>
        <v>0</v>
      </c>
      <c r="T28" s="26">
        <f t="shared" si="13"/>
        <v>0</v>
      </c>
      <c r="U28" s="26">
        <f t="shared" si="13"/>
        <v>0</v>
      </c>
      <c r="V28" s="26">
        <f t="shared" si="13"/>
        <v>0</v>
      </c>
      <c r="W28" s="26">
        <f t="shared" si="13"/>
        <v>0</v>
      </c>
      <c r="X28" s="26">
        <f t="shared" si="13"/>
        <v>0</v>
      </c>
      <c r="Y28" s="26">
        <f t="shared" si="13"/>
        <v>0</v>
      </c>
      <c r="Z28" s="26">
        <f t="shared" si="13"/>
        <v>0</v>
      </c>
      <c r="AA28" s="26">
        <f t="shared" si="13"/>
        <v>0</v>
      </c>
      <c r="AB28" s="26">
        <f t="shared" si="13"/>
        <v>0</v>
      </c>
      <c r="AC28" s="26">
        <f t="shared" si="13"/>
        <v>0</v>
      </c>
      <c r="AD28" s="26">
        <f t="shared" si="13"/>
        <v>0</v>
      </c>
      <c r="AE28" s="26">
        <f t="shared" si="13"/>
        <v>0</v>
      </c>
      <c r="AF28" s="26">
        <f t="shared" si="13"/>
        <v>0</v>
      </c>
      <c r="AG28" s="26">
        <f t="shared" si="13"/>
        <v>0</v>
      </c>
      <c r="AH28" s="26">
        <f t="shared" si="13"/>
        <v>0</v>
      </c>
      <c r="AI28" s="26">
        <f t="shared" si="13"/>
        <v>0</v>
      </c>
      <c r="AJ28" s="26">
        <f t="shared" si="13"/>
        <v>0</v>
      </c>
      <c r="AK28" s="26">
        <f t="shared" si="13"/>
        <v>0</v>
      </c>
    </row>
    <row r="29" spans="1:45" ht="13" thickTop="1" x14ac:dyDescent="0.15">
      <c r="A29" s="27" t="s">
        <v>13</v>
      </c>
      <c r="B29" s="5"/>
      <c r="C29" s="8">
        <f t="shared" ref="C29:AK29" si="14">COUNTIF(C5:C21,"5/1")</f>
        <v>0</v>
      </c>
      <c r="D29" s="8">
        <f t="shared" si="14"/>
        <v>0</v>
      </c>
      <c r="E29" s="8">
        <f t="shared" si="14"/>
        <v>0</v>
      </c>
      <c r="F29" s="8">
        <f t="shared" si="14"/>
        <v>0</v>
      </c>
      <c r="G29" s="8">
        <f t="shared" si="14"/>
        <v>0</v>
      </c>
      <c r="H29" s="8">
        <f t="shared" si="14"/>
        <v>0</v>
      </c>
      <c r="I29" s="8">
        <f t="shared" si="14"/>
        <v>0</v>
      </c>
      <c r="J29" s="8">
        <f t="shared" si="14"/>
        <v>0</v>
      </c>
      <c r="K29" s="8">
        <f t="shared" si="14"/>
        <v>0</v>
      </c>
      <c r="L29" s="8">
        <f t="shared" si="14"/>
        <v>0</v>
      </c>
      <c r="M29" s="8">
        <f t="shared" si="14"/>
        <v>0</v>
      </c>
      <c r="N29" s="8">
        <f t="shared" si="14"/>
        <v>0</v>
      </c>
      <c r="O29" s="8">
        <f t="shared" si="14"/>
        <v>0</v>
      </c>
      <c r="P29" s="8">
        <f t="shared" si="14"/>
        <v>0</v>
      </c>
      <c r="Q29" s="8">
        <f t="shared" si="14"/>
        <v>0</v>
      </c>
      <c r="R29" s="8">
        <f t="shared" si="14"/>
        <v>0</v>
      </c>
      <c r="S29" s="8">
        <f t="shared" si="14"/>
        <v>0</v>
      </c>
      <c r="T29" s="8">
        <f t="shared" si="14"/>
        <v>0</v>
      </c>
      <c r="U29" s="8">
        <f t="shared" si="14"/>
        <v>0</v>
      </c>
      <c r="V29" s="8">
        <f t="shared" si="14"/>
        <v>0</v>
      </c>
      <c r="W29" s="8">
        <f t="shared" si="14"/>
        <v>0</v>
      </c>
      <c r="X29" s="8">
        <f t="shared" si="14"/>
        <v>0</v>
      </c>
      <c r="Y29" s="8">
        <f t="shared" si="14"/>
        <v>0</v>
      </c>
      <c r="Z29" s="8">
        <f t="shared" si="14"/>
        <v>0</v>
      </c>
      <c r="AA29" s="8">
        <f t="shared" si="14"/>
        <v>0</v>
      </c>
      <c r="AB29" s="8">
        <f t="shared" si="14"/>
        <v>0</v>
      </c>
      <c r="AC29" s="8">
        <f t="shared" si="14"/>
        <v>0</v>
      </c>
      <c r="AD29" s="8">
        <f t="shared" si="14"/>
        <v>0</v>
      </c>
      <c r="AE29" s="8">
        <f t="shared" si="14"/>
        <v>0</v>
      </c>
      <c r="AF29" s="8">
        <f t="shared" si="14"/>
        <v>0</v>
      </c>
      <c r="AG29" s="8">
        <f t="shared" si="14"/>
        <v>0</v>
      </c>
      <c r="AH29" s="8">
        <f t="shared" si="14"/>
        <v>0</v>
      </c>
      <c r="AI29" s="8">
        <f t="shared" si="14"/>
        <v>0</v>
      </c>
      <c r="AJ29" s="8">
        <f t="shared" si="14"/>
        <v>0</v>
      </c>
      <c r="AK29" s="8">
        <f t="shared" si="14"/>
        <v>0</v>
      </c>
    </row>
    <row r="30" spans="1:45" ht="13" thickBot="1" x14ac:dyDescent="0.2">
      <c r="A30" s="28" t="s">
        <v>38</v>
      </c>
      <c r="B30" s="28"/>
      <c r="C30" s="26">
        <f>COUNTIF(C6:C23,"5:30 / 1:30")</f>
        <v>0</v>
      </c>
      <c r="D30" s="26">
        <f t="shared" ref="D30:AK30" si="15">COUNTIF(D6:D23,"5:30 / 1:30")</f>
        <v>0</v>
      </c>
      <c r="E30" s="26">
        <f t="shared" si="15"/>
        <v>0</v>
      </c>
      <c r="F30" s="26">
        <f t="shared" si="15"/>
        <v>0</v>
      </c>
      <c r="G30" s="26">
        <f t="shared" si="15"/>
        <v>0</v>
      </c>
      <c r="H30" s="26">
        <f t="shared" si="15"/>
        <v>0</v>
      </c>
      <c r="I30" s="26">
        <f t="shared" si="15"/>
        <v>0</v>
      </c>
      <c r="J30" s="26">
        <f t="shared" si="15"/>
        <v>0</v>
      </c>
      <c r="K30" s="26">
        <f t="shared" si="15"/>
        <v>0</v>
      </c>
      <c r="L30" s="26">
        <f t="shared" si="15"/>
        <v>0</v>
      </c>
      <c r="M30" s="26">
        <f t="shared" si="15"/>
        <v>0</v>
      </c>
      <c r="N30" s="26">
        <f t="shared" si="15"/>
        <v>0</v>
      </c>
      <c r="O30" s="26">
        <f t="shared" si="15"/>
        <v>0</v>
      </c>
      <c r="P30" s="26">
        <f t="shared" si="15"/>
        <v>0</v>
      </c>
      <c r="Q30" s="26">
        <f t="shared" si="15"/>
        <v>0</v>
      </c>
      <c r="R30" s="26">
        <f t="shared" si="15"/>
        <v>0</v>
      </c>
      <c r="S30" s="26">
        <f t="shared" si="15"/>
        <v>0</v>
      </c>
      <c r="T30" s="26">
        <f t="shared" si="15"/>
        <v>0</v>
      </c>
      <c r="U30" s="26">
        <f t="shared" si="15"/>
        <v>0</v>
      </c>
      <c r="V30" s="26">
        <f t="shared" si="15"/>
        <v>0</v>
      </c>
      <c r="W30" s="26">
        <f t="shared" si="15"/>
        <v>0</v>
      </c>
      <c r="X30" s="26">
        <f t="shared" si="15"/>
        <v>0</v>
      </c>
      <c r="Y30" s="26">
        <f t="shared" si="15"/>
        <v>0</v>
      </c>
      <c r="Z30" s="26">
        <f t="shared" si="15"/>
        <v>0</v>
      </c>
      <c r="AA30" s="26">
        <f t="shared" si="15"/>
        <v>0</v>
      </c>
      <c r="AB30" s="26">
        <f t="shared" si="15"/>
        <v>0</v>
      </c>
      <c r="AC30" s="26">
        <f t="shared" si="15"/>
        <v>0</v>
      </c>
      <c r="AD30" s="26">
        <f t="shared" si="15"/>
        <v>0</v>
      </c>
      <c r="AE30" s="26">
        <f t="shared" si="15"/>
        <v>0</v>
      </c>
      <c r="AF30" s="26">
        <f t="shared" si="15"/>
        <v>0</v>
      </c>
      <c r="AG30" s="26">
        <f t="shared" si="15"/>
        <v>0</v>
      </c>
      <c r="AH30" s="26">
        <f t="shared" si="15"/>
        <v>0</v>
      </c>
      <c r="AI30" s="26">
        <f t="shared" si="15"/>
        <v>0</v>
      </c>
      <c r="AJ30" s="26">
        <f t="shared" si="15"/>
        <v>0</v>
      </c>
      <c r="AK30" s="26">
        <f t="shared" si="15"/>
        <v>0</v>
      </c>
    </row>
    <row r="31" spans="1:45" s="8" customFormat="1" ht="13" thickTop="1" x14ac:dyDescent="0.15">
      <c r="A31" s="5" t="s">
        <v>15</v>
      </c>
      <c r="B31" s="5"/>
      <c r="C31" s="8">
        <f t="shared" ref="C31:AK31" si="16">COUNTIF(C5:C21,"6/2")</f>
        <v>0</v>
      </c>
      <c r="D31" s="8">
        <f t="shared" si="16"/>
        <v>0</v>
      </c>
      <c r="E31" s="8">
        <f t="shared" si="16"/>
        <v>0</v>
      </c>
      <c r="F31" s="8">
        <f t="shared" si="16"/>
        <v>0</v>
      </c>
      <c r="G31" s="8">
        <f t="shared" si="16"/>
        <v>0</v>
      </c>
      <c r="H31" s="8">
        <f t="shared" si="16"/>
        <v>0</v>
      </c>
      <c r="I31" s="8">
        <f t="shared" si="16"/>
        <v>0</v>
      </c>
      <c r="J31" s="8">
        <f t="shared" si="16"/>
        <v>0</v>
      </c>
      <c r="K31" s="8">
        <f t="shared" si="16"/>
        <v>0</v>
      </c>
      <c r="L31" s="8">
        <f t="shared" si="16"/>
        <v>0</v>
      </c>
      <c r="M31" s="8">
        <f t="shared" si="16"/>
        <v>0</v>
      </c>
      <c r="N31" s="8">
        <f t="shared" si="16"/>
        <v>0</v>
      </c>
      <c r="O31" s="8">
        <f t="shared" si="16"/>
        <v>0</v>
      </c>
      <c r="P31" s="8">
        <f t="shared" si="16"/>
        <v>0</v>
      </c>
      <c r="Q31" s="8">
        <f t="shared" si="16"/>
        <v>0</v>
      </c>
      <c r="R31" s="8">
        <f t="shared" si="16"/>
        <v>0</v>
      </c>
      <c r="S31" s="8">
        <f t="shared" si="16"/>
        <v>0</v>
      </c>
      <c r="T31" s="8">
        <f t="shared" si="16"/>
        <v>0</v>
      </c>
      <c r="U31" s="8">
        <f t="shared" si="16"/>
        <v>0</v>
      </c>
      <c r="V31" s="8">
        <f t="shared" si="16"/>
        <v>0</v>
      </c>
      <c r="W31" s="8">
        <f t="shared" si="16"/>
        <v>0</v>
      </c>
      <c r="X31" s="8">
        <f t="shared" si="16"/>
        <v>0</v>
      </c>
      <c r="Y31" s="8">
        <f t="shared" si="16"/>
        <v>0</v>
      </c>
      <c r="Z31" s="8">
        <f t="shared" si="16"/>
        <v>0</v>
      </c>
      <c r="AA31" s="8">
        <f t="shared" si="16"/>
        <v>0</v>
      </c>
      <c r="AB31" s="8">
        <f t="shared" si="16"/>
        <v>0</v>
      </c>
      <c r="AC31" s="8">
        <f t="shared" si="16"/>
        <v>0</v>
      </c>
      <c r="AD31" s="8">
        <f t="shared" si="16"/>
        <v>0</v>
      </c>
      <c r="AE31" s="8">
        <f t="shared" si="16"/>
        <v>0</v>
      </c>
      <c r="AF31" s="8">
        <f t="shared" si="16"/>
        <v>0</v>
      </c>
      <c r="AG31" s="8">
        <f t="shared" si="16"/>
        <v>0</v>
      </c>
      <c r="AH31" s="8">
        <f t="shared" si="16"/>
        <v>0</v>
      </c>
      <c r="AI31" s="8">
        <f t="shared" si="16"/>
        <v>0</v>
      </c>
      <c r="AJ31" s="8">
        <f t="shared" si="16"/>
        <v>0</v>
      </c>
      <c r="AK31" s="8">
        <f t="shared" si="16"/>
        <v>0</v>
      </c>
    </row>
    <row r="32" spans="1:45" s="8" customFormat="1" x14ac:dyDescent="0.15">
      <c r="A32" s="5" t="s">
        <v>16</v>
      </c>
      <c r="B32" s="5"/>
      <c r="C32" s="8">
        <f t="shared" ref="C32:AK32" si="17">COUNTIF(C5:C21,"10/6")</f>
        <v>0</v>
      </c>
      <c r="D32" s="8">
        <f t="shared" si="17"/>
        <v>0</v>
      </c>
      <c r="E32" s="8">
        <f t="shared" si="17"/>
        <v>0</v>
      </c>
      <c r="F32" s="8">
        <f t="shared" si="17"/>
        <v>0</v>
      </c>
      <c r="G32" s="8">
        <f t="shared" si="17"/>
        <v>0</v>
      </c>
      <c r="H32" s="8">
        <f t="shared" si="17"/>
        <v>0</v>
      </c>
      <c r="I32" s="8">
        <f t="shared" si="17"/>
        <v>0</v>
      </c>
      <c r="J32" s="8">
        <f t="shared" si="17"/>
        <v>0</v>
      </c>
      <c r="K32" s="8">
        <f t="shared" si="17"/>
        <v>0</v>
      </c>
      <c r="L32" s="8">
        <f t="shared" si="17"/>
        <v>0</v>
      </c>
      <c r="M32" s="8">
        <f t="shared" si="17"/>
        <v>0</v>
      </c>
      <c r="N32" s="8">
        <f t="shared" si="17"/>
        <v>0</v>
      </c>
      <c r="O32" s="8">
        <f t="shared" si="17"/>
        <v>0</v>
      </c>
      <c r="P32" s="8">
        <f t="shared" si="17"/>
        <v>0</v>
      </c>
      <c r="Q32" s="8">
        <f t="shared" si="17"/>
        <v>0</v>
      </c>
      <c r="R32" s="8">
        <f t="shared" si="17"/>
        <v>0</v>
      </c>
      <c r="S32" s="8">
        <f t="shared" si="17"/>
        <v>0</v>
      </c>
      <c r="T32" s="8">
        <f t="shared" si="17"/>
        <v>0</v>
      </c>
      <c r="U32" s="8">
        <f t="shared" si="17"/>
        <v>0</v>
      </c>
      <c r="V32" s="8">
        <f t="shared" si="17"/>
        <v>0</v>
      </c>
      <c r="W32" s="8">
        <f t="shared" si="17"/>
        <v>0</v>
      </c>
      <c r="X32" s="8">
        <f t="shared" si="17"/>
        <v>0</v>
      </c>
      <c r="Y32" s="8">
        <f t="shared" si="17"/>
        <v>0</v>
      </c>
      <c r="Z32" s="8">
        <f t="shared" si="17"/>
        <v>0</v>
      </c>
      <c r="AA32" s="8">
        <f t="shared" si="17"/>
        <v>0</v>
      </c>
      <c r="AB32" s="8">
        <f t="shared" si="17"/>
        <v>0</v>
      </c>
      <c r="AC32" s="8">
        <f t="shared" si="17"/>
        <v>0</v>
      </c>
      <c r="AD32" s="8">
        <f t="shared" si="17"/>
        <v>0</v>
      </c>
      <c r="AE32" s="8">
        <f t="shared" si="17"/>
        <v>0</v>
      </c>
      <c r="AF32" s="8">
        <f t="shared" si="17"/>
        <v>0</v>
      </c>
      <c r="AG32" s="8">
        <f t="shared" si="17"/>
        <v>0</v>
      </c>
      <c r="AH32" s="8">
        <f t="shared" si="17"/>
        <v>0</v>
      </c>
      <c r="AI32" s="8">
        <f t="shared" si="17"/>
        <v>0</v>
      </c>
      <c r="AJ32" s="8">
        <f t="shared" si="17"/>
        <v>0</v>
      </c>
      <c r="AK32" s="8">
        <f t="shared" si="17"/>
        <v>0</v>
      </c>
    </row>
    <row r="33" spans="1:9" s="8" customFormat="1" x14ac:dyDescent="0.15">
      <c r="A33" s="6"/>
      <c r="B33" s="6"/>
    </row>
    <row r="34" spans="1:9" s="8" customFormat="1" x14ac:dyDescent="0.15">
      <c r="A34" s="6"/>
      <c r="B34" s="6"/>
      <c r="C34" s="199"/>
      <c r="D34" s="199"/>
      <c r="E34" s="199"/>
      <c r="F34" s="199"/>
      <c r="G34" s="199"/>
      <c r="H34" s="199"/>
      <c r="I34" s="199"/>
    </row>
    <row r="35" spans="1:9" s="8" customFormat="1" x14ac:dyDescent="0.15">
      <c r="A35" s="6"/>
      <c r="B35" s="6"/>
      <c r="C35" s="199"/>
      <c r="D35" s="199"/>
      <c r="E35" s="199"/>
      <c r="F35" s="199"/>
      <c r="G35" s="199"/>
      <c r="H35" s="199"/>
      <c r="I35" s="199"/>
    </row>
    <row r="36" spans="1:9" s="8" customFormat="1" x14ac:dyDescent="0.15">
      <c r="A36" s="6"/>
      <c r="B36" s="6"/>
      <c r="C36" s="199"/>
      <c r="D36" s="199"/>
      <c r="E36" s="199"/>
      <c r="F36" s="199"/>
      <c r="G36" s="199"/>
      <c r="H36" s="199"/>
      <c r="I36" s="199"/>
    </row>
    <row r="37" spans="1:9" s="8" customFormat="1" x14ac:dyDescent="0.15">
      <c r="A37" s="6"/>
      <c r="B37" s="6"/>
      <c r="C37" s="199"/>
      <c r="D37" s="199"/>
      <c r="E37" s="199"/>
      <c r="F37" s="199"/>
      <c r="G37" s="199"/>
      <c r="H37" s="199"/>
      <c r="I37" s="199"/>
    </row>
    <row r="38" spans="1:9" s="8" customFormat="1" x14ac:dyDescent="0.15">
      <c r="A38" s="6"/>
      <c r="B38" s="6"/>
      <c r="C38" s="199"/>
      <c r="D38" s="199"/>
      <c r="E38" s="199"/>
      <c r="F38" s="199"/>
      <c r="G38" s="199"/>
      <c r="H38" s="199"/>
      <c r="I38" s="199"/>
    </row>
    <row r="39" spans="1:9" s="8" customFormat="1" x14ac:dyDescent="0.15">
      <c r="A39" s="6"/>
      <c r="B39" s="6"/>
      <c r="C39" s="199"/>
      <c r="D39" s="199"/>
      <c r="E39" s="199"/>
      <c r="F39" s="199"/>
      <c r="G39" s="199"/>
      <c r="H39" s="199"/>
      <c r="I39" s="199"/>
    </row>
    <row r="40" spans="1:9" s="8" customFormat="1" x14ac:dyDescent="0.15">
      <c r="A40" s="6"/>
      <c r="B40" s="6"/>
      <c r="C40" s="199"/>
      <c r="D40" s="199"/>
      <c r="E40" s="199"/>
      <c r="F40" s="199"/>
      <c r="G40" s="199"/>
      <c r="H40" s="199"/>
      <c r="I40" s="199"/>
    </row>
    <row r="41" spans="1:9" s="8" customFormat="1" x14ac:dyDescent="0.15">
      <c r="A41" s="6"/>
      <c r="B41" s="6"/>
      <c r="C41" s="199"/>
      <c r="D41" s="199"/>
      <c r="E41" s="199"/>
      <c r="F41" s="199"/>
      <c r="G41" s="199"/>
      <c r="H41" s="199"/>
      <c r="I41" s="199"/>
    </row>
    <row r="42" spans="1:9" s="8" customFormat="1" x14ac:dyDescent="0.15">
      <c r="A42" s="6"/>
      <c r="B42" s="6"/>
      <c r="C42" s="199"/>
      <c r="D42" s="199"/>
      <c r="E42" s="199"/>
      <c r="F42" s="199"/>
      <c r="G42" s="199"/>
      <c r="H42" s="199"/>
      <c r="I42" s="199"/>
    </row>
  </sheetData>
  <mergeCells count="88">
    <mergeCell ref="AQ3:AQ4"/>
    <mergeCell ref="AR3:AR4"/>
    <mergeCell ref="A5:A6"/>
    <mergeCell ref="AL5:AL6"/>
    <mergeCell ref="AM5:AM6"/>
    <mergeCell ref="AN5:AN6"/>
    <mergeCell ref="AO5:AO6"/>
    <mergeCell ref="AP5:AP6"/>
    <mergeCell ref="AQ5:AQ6"/>
    <mergeCell ref="AR5:AR6"/>
    <mergeCell ref="A3:A4"/>
    <mergeCell ref="AL3:AL4"/>
    <mergeCell ref="AM3:AM4"/>
    <mergeCell ref="AN3:AN4"/>
    <mergeCell ref="AO3:AO4"/>
    <mergeCell ref="AP3:AP4"/>
    <mergeCell ref="A7:A8"/>
    <mergeCell ref="AL7:AL8"/>
    <mergeCell ref="AM7:AM8"/>
    <mergeCell ref="AN7:AN8"/>
    <mergeCell ref="AO7:AO8"/>
    <mergeCell ref="AQ7:AQ8"/>
    <mergeCell ref="AR7:AR8"/>
    <mergeCell ref="AL9:AL10"/>
    <mergeCell ref="AM9:AM10"/>
    <mergeCell ref="AN9:AN10"/>
    <mergeCell ref="AO9:AO10"/>
    <mergeCell ref="AP9:AP10"/>
    <mergeCell ref="AQ9:AQ10"/>
    <mergeCell ref="AR9:AR10"/>
    <mergeCell ref="AP7:AP8"/>
    <mergeCell ref="AQ11:AQ12"/>
    <mergeCell ref="AR11:AR12"/>
    <mergeCell ref="A13:A14"/>
    <mergeCell ref="AL13:AL14"/>
    <mergeCell ref="AM13:AM14"/>
    <mergeCell ref="AN13:AN14"/>
    <mergeCell ref="AO13:AO14"/>
    <mergeCell ref="AP13:AP14"/>
    <mergeCell ref="AQ13:AQ14"/>
    <mergeCell ref="AR13:AR14"/>
    <mergeCell ref="A11:A12"/>
    <mergeCell ref="AL11:AL12"/>
    <mergeCell ref="AM11:AM12"/>
    <mergeCell ref="AN11:AN12"/>
    <mergeCell ref="AO11:AO12"/>
    <mergeCell ref="AP11:AP12"/>
    <mergeCell ref="A15:A16"/>
    <mergeCell ref="AL15:AL16"/>
    <mergeCell ref="AM15:AM16"/>
    <mergeCell ref="AN15:AN16"/>
    <mergeCell ref="AO15:AO16"/>
    <mergeCell ref="AQ15:AQ16"/>
    <mergeCell ref="AR15:AR16"/>
    <mergeCell ref="AL17:AL18"/>
    <mergeCell ref="AM17:AM18"/>
    <mergeCell ref="AN17:AN18"/>
    <mergeCell ref="AO17:AO18"/>
    <mergeCell ref="AP17:AP18"/>
    <mergeCell ref="AQ17:AQ18"/>
    <mergeCell ref="AR17:AR18"/>
    <mergeCell ref="AP15:AP16"/>
    <mergeCell ref="C36:I36"/>
    <mergeCell ref="C37:I37"/>
    <mergeCell ref="AR19:AR20"/>
    <mergeCell ref="AL21:AL22"/>
    <mergeCell ref="AM21:AM22"/>
    <mergeCell ref="AN21:AN22"/>
    <mergeCell ref="AO21:AO22"/>
    <mergeCell ref="AP21:AP22"/>
    <mergeCell ref="AQ21:AQ22"/>
    <mergeCell ref="AR21:AR22"/>
    <mergeCell ref="AL19:AL20"/>
    <mergeCell ref="AM19:AM20"/>
    <mergeCell ref="AN19:AN20"/>
    <mergeCell ref="AO19:AO20"/>
    <mergeCell ref="AP19:AP20"/>
    <mergeCell ref="AQ19:AQ20"/>
    <mergeCell ref="A23:I23"/>
    <mergeCell ref="O24:Q24"/>
    <mergeCell ref="V24:W24"/>
    <mergeCell ref="C34:I34"/>
    <mergeCell ref="C35:I35"/>
    <mergeCell ref="C38:I38"/>
    <mergeCell ref="C39:I39"/>
    <mergeCell ref="C40:I40"/>
    <mergeCell ref="C41:I41"/>
    <mergeCell ref="C42:I42"/>
  </mergeCells>
  <conditionalFormatting sqref="A27:XFD32">
    <cfRule type="cellIs" dxfId="16" priority="17" operator="equal">
      <formula>1</formula>
    </cfRule>
  </conditionalFormatting>
  <conditionalFormatting sqref="A31:XFD31">
    <cfRule type="cellIs" dxfId="15" priority="14" operator="equal">
      <formula>2</formula>
    </cfRule>
  </conditionalFormatting>
  <conditionalFormatting sqref="A34:XFD42">
    <cfRule type="cellIs" dxfId="14" priority="12" operator="equal">
      <formula>1</formula>
    </cfRule>
    <cfRule type="cellIs" dxfId="13" priority="13" operator="equal">
      <formula>2</formula>
    </cfRule>
  </conditionalFormatting>
  <conditionalFormatting sqref="B5:AK5 B7:AK7 B9:AK9 B11:AK11 B13:AK13 B15:AK15 B17:AK17 B19:AK19 B21:AK21">
    <cfRule type="containsText" dxfId="12" priority="3" operator="containsText" text="5:30 / 1:30">
      <formula>NOT(ISERROR(SEARCH("5:30 / 1:30",B5)))</formula>
    </cfRule>
    <cfRule type="containsText" dxfId="11" priority="4" operator="containsText" text="ENF">
      <formula>NOT(ISERROR(SEARCH("ENF",B5)))</formula>
    </cfRule>
    <cfRule type="containsText" dxfId="10" priority="5" operator="containsText" text="10/6">
      <formula>NOT(ISERROR(SEARCH("10/6",B5)))</formula>
    </cfRule>
    <cfRule type="containsText" dxfId="9" priority="6" operator="containsText" text="6/2">
      <formula>NOT(ISERROR(SEARCH("6/2",B5)))</formula>
    </cfRule>
    <cfRule type="containsText" dxfId="8" priority="7" operator="containsText" text="5/1">
      <formula>NOT(ISERROR(SEARCH("5/1",B5)))</formula>
    </cfRule>
  </conditionalFormatting>
  <conditionalFormatting sqref="B5:AK5 B7:AK7 B9:AK9 B11:AK11 B13:AK13 B15:AK15 B17:AK17 B19:AK19">
    <cfRule type="containsText" dxfId="7" priority="8" operator="containsText" text="4:30 / 12:30">
      <formula>NOT(ISERROR(SEARCH("4:30 / 12:30",B5)))</formula>
    </cfRule>
    <cfRule type="containsText" dxfId="6" priority="9" operator="containsText" text="4/12">
      <formula>NOT(ISERROR(SEARCH("4/12",B5)))</formula>
    </cfRule>
  </conditionalFormatting>
  <conditionalFormatting sqref="C5:AK22">
    <cfRule type="containsText" dxfId="5" priority="10" operator="containsText" text="V">
      <formula>NOT(ISERROR(SEARCH("V",C5)))</formula>
    </cfRule>
    <cfRule type="containsText" dxfId="4" priority="11" operator="containsText" text="L">
      <formula>NOT(ISERROR(SEARCH("L",C5)))</formula>
    </cfRule>
  </conditionalFormatting>
  <conditionalFormatting sqref="C27:AK32">
    <cfRule type="cellIs" dxfId="3" priority="15" operator="equal">
      <formula>0</formula>
    </cfRule>
    <cfRule type="cellIs" dxfId="2" priority="16" operator="equal">
      <formula>2</formula>
    </cfRule>
  </conditionalFormatting>
  <conditionalFormatting sqref="B5:B21">
    <cfRule type="containsText" dxfId="1" priority="1" operator="containsText" text="V">
      <formula>NOT(ISERROR(SEARCH("V",B5)))</formula>
    </cfRule>
    <cfRule type="containsText" dxfId="0" priority="2" operator="containsText" text="L">
      <formula>NOT(ISERROR(SEARCH("L",B5)))</formula>
    </cfRule>
  </conditionalFormatting>
  <printOptions horizontalCentered="1" verticalCentered="1"/>
  <pageMargins left="0.15" right="0.15" top="0.5" bottom="0.5" header="0.3" footer="0.3"/>
  <pageSetup scale="90" fitToWidth="0" fitToHeight="0" orientation="landscape" r:id="rId1"/>
  <headerFooter>
    <oddFooter>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620E365-7A2C-4E25-AD03-A72FC0534281}">
          <x14:formula1>
            <xm:f>Leyenda!$A$4:$A$16</xm:f>
          </x14:formula1>
          <xm:sqref>B5:I5 B21:I21 B19:I19 B17:I17 B15:I15 B13:I13 B11:I11 B7:I7 B9:I9</xm:sqref>
        </x14:dataValidation>
        <x14:dataValidation type="list" allowBlank="1" showInputMessage="1" showErrorMessage="1" xr:uid="{CC9A799B-F9DC-471C-8B57-530155AAB516}">
          <x14:formula1>
            <xm:f>Leyenda!$A$4:$A$14</xm:f>
          </x14:formula1>
          <xm:sqref>J21:AK21 J19:AK19 J17:AK17 J15:AK15 J13:AK13 J11:AK11 J7:AK7 J9:AK9 J5:AK5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8ec0c2-5b9f-43a3-85f8-62f84e347e3f">
      <Terms xmlns="http://schemas.microsoft.com/office/infopath/2007/PartnerControls"/>
    </lcf76f155ced4ddcb4097134ff3c332f>
    <TaxCatchAll xmlns="f1e0cdc5-036e-4e8a-ade4-e824cb05c00c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F992DCA0C7DD4A82D62E2FF21690A1" ma:contentTypeVersion="17" ma:contentTypeDescription="Create a new document." ma:contentTypeScope="" ma:versionID="91ed31af68e113538b43d06993056dba">
  <xsd:schema xmlns:xsd="http://www.w3.org/2001/XMLSchema" xmlns:xs="http://www.w3.org/2001/XMLSchema" xmlns:p="http://schemas.microsoft.com/office/2006/metadata/properties" xmlns:ns2="f1e0cdc5-036e-4e8a-ade4-e824cb05c00c" xmlns:ns3="3f8ec0c2-5b9f-43a3-85f8-62f84e347e3f" targetNamespace="http://schemas.microsoft.com/office/2006/metadata/properties" ma:root="true" ma:fieldsID="9b52f2dbc92c2b9e417f486de600a442" ns2:_="" ns3:_="">
    <xsd:import namespace="f1e0cdc5-036e-4e8a-ade4-e824cb05c00c"/>
    <xsd:import namespace="3f8ec0c2-5b9f-43a3-85f8-62f84e347e3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e0cdc5-036e-4e8a-ade4-e824cb05c00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dc094bf1-8b66-4c31-9ab0-7945c6b68235}" ma:internalName="TaxCatchAll" ma:showField="CatchAllData" ma:web="f1e0cdc5-036e-4e8a-ade4-e824cb05c0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ec0c2-5b9f-43a3-85f8-62f84e347e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ecffce3d-5eee-412e-9e5e-568cf4f4245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8DEC8B-A0FB-49A4-ABDF-B1FCFF09FA7E}">
  <ds:schemaRefs>
    <ds:schemaRef ds:uri="http://schemas.microsoft.com/office/2006/metadata/properties"/>
    <ds:schemaRef ds:uri="http://schemas.microsoft.com/office/infopath/2007/PartnerControls"/>
    <ds:schemaRef ds:uri="3f8ec0c2-5b9f-43a3-85f8-62f84e347e3f"/>
    <ds:schemaRef ds:uri="f1e0cdc5-036e-4e8a-ade4-e824cb05c00c"/>
  </ds:schemaRefs>
</ds:datastoreItem>
</file>

<file path=customXml/itemProps2.xml><?xml version="1.0" encoding="utf-8"?>
<ds:datastoreItem xmlns:ds="http://schemas.openxmlformats.org/officeDocument/2006/customXml" ds:itemID="{21448781-01A6-46CF-919C-D82C13CB942E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5AE6D141-5EA6-43A4-B4C8-AF2EB9328F6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B392CA5-8E28-4C5F-BF7E-950C1B9824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e0cdc5-036e-4e8a-ade4-e824cb05c00c"/>
    <ds:schemaRef ds:uri="3f8ec0c2-5b9f-43a3-85f8-62f84e347e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906065a-f03e-47ad-a4c4-6b139a08445c}" enabled="0" method="" siteId="{e906065a-f03e-47ad-a4c4-6b139a08445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JUN-2026 (OFI)</vt:lpstr>
      <vt:lpstr>MAY-2026</vt:lpstr>
      <vt:lpstr>Leyenda</vt:lpstr>
      <vt:lpstr>Plantilla</vt:lpstr>
      <vt:lpstr>'JUN-2026 (OFI)'!Print_Area</vt:lpstr>
      <vt:lpstr>'MAY-2026'!Print_Area</vt:lpstr>
      <vt:lpstr>Plantilla!Print_Area</vt:lpstr>
      <vt:lpstr>'JUN-2026 (OFI)'!Print_Titles</vt:lpstr>
      <vt:lpstr>'MAY-2026'!Print_Titles</vt:lpstr>
    </vt:vector>
  </TitlesOfParts>
  <Manager/>
  <Company>ASEM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Carmelo II Allende Martinez</dc:creator>
  <cp:keywords/>
  <dc:description/>
  <cp:lastModifiedBy>Carmelo II Allende Martinez</cp:lastModifiedBy>
  <cp:revision/>
  <dcterms:created xsi:type="dcterms:W3CDTF">2018-01-22T19:16:13Z</dcterms:created>
  <dcterms:modified xsi:type="dcterms:W3CDTF">2026-06-07T15:52:04Z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Carmelo II Allende Martinez</vt:lpwstr>
  </property>
  <property fmtid="{D5CDD505-2E9C-101B-9397-08002B2CF9AE}" pid="3" name="Order">
    <vt:lpwstr>143600.000000000</vt:lpwstr>
  </property>
  <property fmtid="{D5CDD505-2E9C-101B-9397-08002B2CF9AE}" pid="4" name="display_urn:schemas-microsoft-com:office:office#Author">
    <vt:lpwstr>Carmelo II Allende Martinez</vt:lpwstr>
  </property>
  <property fmtid="{D5CDD505-2E9C-101B-9397-08002B2CF9AE}" pid="5" name="ContentTypeId">
    <vt:lpwstr>0x01010069F992DCA0C7DD4A82D62E2FF21690A1</vt:lpwstr>
  </property>
  <property fmtid="{D5CDD505-2E9C-101B-9397-08002B2CF9AE}" pid="6" name="MediaServiceImageTags">
    <vt:lpwstr/>
  </property>
</Properties>
</file>